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toml\Downloads\"/>
    </mc:Choice>
  </mc:AlternateContent>
  <xr:revisionPtr revIDLastSave="0" documentId="8_{A169C713-CEB3-41AD-AD71-979C44B2A5F2}" xr6:coauthVersionLast="47" xr6:coauthVersionMax="47" xr10:uidLastSave="{00000000-0000-0000-0000-000000000000}"/>
  <bookViews>
    <workbookView xWindow="-120" yWindow="-120" windowWidth="38640" windowHeight="21240" firstSheet="1" activeTab="3" xr2:uid="{00000000-000D-0000-FFFF-FFFF00000000}"/>
  </bookViews>
  <sheets>
    <sheet name="FR-Instructions" sheetId="1" r:id="rId1"/>
    <sheet name="Treasury Instructions" sheetId="2" r:id="rId2"/>
    <sheet name="SAP" sheetId="3" r:id="rId3"/>
    <sheet name="RECON" sheetId="4" r:id="rId4"/>
    <sheet name="Treasury Payments&amp;Accounting" sheetId="5" r:id="rId5"/>
    <sheet name="Kyriba PET Upload" sheetId="6" r:id="rId6"/>
    <sheet name="BAL" sheetId="7" state="hidden" r:id="rId7"/>
  </sheets>
  <externalReferences>
    <externalReference r:id="rId8"/>
  </externalReferences>
  <definedNames>
    <definedName name="_xlnm._FilterDatabase" localSheetId="3" hidden="1">RECON!$A$2:$GZ$2</definedName>
    <definedName name="AGRP">#REF!</definedName>
    <definedName name="AHS">#REF!</definedName>
    <definedName name="AIT">#REF!</definedName>
    <definedName name="AMG">#REF!</definedName>
    <definedName name="ASTP">#REF!</definedName>
    <definedName name="CAIG">#REF!</definedName>
    <definedName name="Cols">#REF!</definedName>
    <definedName name="Credits">#REF!</definedName>
    <definedName name="Debits">#REF!</definedName>
    <definedName name="HK">#REF!</definedName>
    <definedName name="HM">#REF!</definedName>
    <definedName name="Inc">#REF!</definedName>
    <definedName name="INFO1">#REF!</definedName>
    <definedName name="Intl">#REF!</definedName>
    <definedName name="JFSA">#REF!</definedName>
    <definedName name="Message">#REF!</definedName>
    <definedName name="MsgStart">#REF!</definedName>
    <definedName name="NY">#REF!</definedName>
    <definedName name="PivotStart">#REF!</definedName>
    <definedName name="print">#REF!</definedName>
    <definedName name="_xlnm.Print_Area" localSheetId="4">'Treasury Payments&amp;Accounting'!$A$1:$I$101</definedName>
    <definedName name="_xlnm.Print_Titles" localSheetId="3">RECON!$1:$2</definedName>
    <definedName name="_xlnm.Print_Titles" localSheetId="4">'Treasury Payments&amp;Accounting'!$1:$4</definedName>
    <definedName name="reconacct">RECON!$A$2:$H$209</definedName>
    <definedName name="SAP" localSheetId="0">[1]SAP!$A:$K</definedName>
    <definedName name="SAP">SAP!$A:$K</definedName>
    <definedName name="Table">#REF!</definedName>
    <definedName name="ULNY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8" i="7" l="1"/>
  <c r="F58" i="7"/>
  <c r="E58" i="7"/>
  <c r="D58" i="7"/>
  <c r="C58" i="7"/>
  <c r="B58" i="7"/>
  <c r="G57" i="7"/>
  <c r="F57" i="7"/>
  <c r="E57" i="7"/>
  <c r="D57" i="7"/>
  <c r="C57" i="7"/>
  <c r="B57" i="7"/>
  <c r="G56" i="7"/>
  <c r="F56" i="7"/>
  <c r="E56" i="7"/>
  <c r="D56" i="7"/>
  <c r="C56" i="7"/>
  <c r="B56" i="7"/>
  <c r="G55" i="7"/>
  <c r="F55" i="7"/>
  <c r="E55" i="7"/>
  <c r="D55" i="7"/>
  <c r="C55" i="7"/>
  <c r="B55" i="7"/>
  <c r="G54" i="7"/>
  <c r="F54" i="7"/>
  <c r="E54" i="7"/>
  <c r="D54" i="7"/>
  <c r="C54" i="7"/>
  <c r="B54" i="7"/>
  <c r="G53" i="7"/>
  <c r="F53" i="7"/>
  <c r="E53" i="7"/>
  <c r="D53" i="7"/>
  <c r="C53" i="7"/>
  <c r="B53" i="7"/>
  <c r="G52" i="7"/>
  <c r="F52" i="7"/>
  <c r="E52" i="7"/>
  <c r="D52" i="7"/>
  <c r="C52" i="7"/>
  <c r="B52" i="7"/>
  <c r="G51" i="7"/>
  <c r="F51" i="7"/>
  <c r="E51" i="7"/>
  <c r="D51" i="7"/>
  <c r="C51" i="7"/>
  <c r="B51" i="7"/>
  <c r="G50" i="7"/>
  <c r="F50" i="7"/>
  <c r="E50" i="7"/>
  <c r="D50" i="7"/>
  <c r="C50" i="7"/>
  <c r="B50" i="7"/>
  <c r="G49" i="7"/>
  <c r="F49" i="7"/>
  <c r="E49" i="7"/>
  <c r="D49" i="7"/>
  <c r="C49" i="7"/>
  <c r="B49" i="7"/>
  <c r="G48" i="7"/>
  <c r="F48" i="7"/>
  <c r="E48" i="7"/>
  <c r="D48" i="7"/>
  <c r="C48" i="7"/>
  <c r="B48" i="7"/>
  <c r="G47" i="7"/>
  <c r="F47" i="7"/>
  <c r="E47" i="7"/>
  <c r="D47" i="7"/>
  <c r="C47" i="7"/>
  <c r="B47" i="7"/>
  <c r="G46" i="7"/>
  <c r="F46" i="7"/>
  <c r="E46" i="7"/>
  <c r="D46" i="7"/>
  <c r="C46" i="7"/>
  <c r="B46" i="7"/>
  <c r="G45" i="7"/>
  <c r="F45" i="7"/>
  <c r="E45" i="7"/>
  <c r="D45" i="7"/>
  <c r="C45" i="7"/>
  <c r="B45" i="7"/>
  <c r="G44" i="7"/>
  <c r="F44" i="7"/>
  <c r="E44" i="7"/>
  <c r="D44" i="7"/>
  <c r="C44" i="7"/>
  <c r="B44" i="7"/>
  <c r="G43" i="7"/>
  <c r="F43" i="7"/>
  <c r="E43" i="7"/>
  <c r="D43" i="7"/>
  <c r="C43" i="7"/>
  <c r="B43" i="7"/>
  <c r="G42" i="7"/>
  <c r="F42" i="7"/>
  <c r="E42" i="7"/>
  <c r="D42" i="7"/>
  <c r="C42" i="7"/>
  <c r="B42" i="7"/>
  <c r="G41" i="7"/>
  <c r="F41" i="7"/>
  <c r="E41" i="7"/>
  <c r="D41" i="7"/>
  <c r="C41" i="7"/>
  <c r="B41" i="7"/>
  <c r="G40" i="7"/>
  <c r="F40" i="7"/>
  <c r="E40" i="7"/>
  <c r="D40" i="7"/>
  <c r="C40" i="7"/>
  <c r="B40" i="7"/>
  <c r="G39" i="7"/>
  <c r="F39" i="7"/>
  <c r="E39" i="7"/>
  <c r="D39" i="7"/>
  <c r="C39" i="7"/>
  <c r="B39" i="7"/>
  <c r="G38" i="7"/>
  <c r="F38" i="7"/>
  <c r="E38" i="7"/>
  <c r="D38" i="7"/>
  <c r="C38" i="7"/>
  <c r="B38" i="7"/>
  <c r="G37" i="7"/>
  <c r="F37" i="7"/>
  <c r="E37" i="7"/>
  <c r="D37" i="7"/>
  <c r="C37" i="7"/>
  <c r="B37" i="7"/>
  <c r="G36" i="7"/>
  <c r="F36" i="7"/>
  <c r="E36" i="7"/>
  <c r="D36" i="7"/>
  <c r="C36" i="7"/>
  <c r="B36" i="7"/>
  <c r="G35" i="7"/>
  <c r="F35" i="7"/>
  <c r="E35" i="7"/>
  <c r="D35" i="7"/>
  <c r="C35" i="7"/>
  <c r="B35" i="7"/>
  <c r="G34" i="7"/>
  <c r="F34" i="7"/>
  <c r="E34" i="7"/>
  <c r="D34" i="7"/>
  <c r="C34" i="7"/>
  <c r="B34" i="7"/>
  <c r="G33" i="7"/>
  <c r="F33" i="7"/>
  <c r="E33" i="7"/>
  <c r="D33" i="7"/>
  <c r="C33" i="7"/>
  <c r="B33" i="7"/>
  <c r="G32" i="7"/>
  <c r="F32" i="7"/>
  <c r="E32" i="7"/>
  <c r="D32" i="7"/>
  <c r="C32" i="7"/>
  <c r="B32" i="7"/>
  <c r="G31" i="7"/>
  <c r="F31" i="7"/>
  <c r="E31" i="7"/>
  <c r="D31" i="7"/>
  <c r="C31" i="7"/>
  <c r="B31" i="7"/>
  <c r="G30" i="7"/>
  <c r="F30" i="7"/>
  <c r="E30" i="7"/>
  <c r="D30" i="7"/>
  <c r="C30" i="7"/>
  <c r="B30" i="7"/>
  <c r="G29" i="7"/>
  <c r="F29" i="7"/>
  <c r="E29" i="7"/>
  <c r="D29" i="7"/>
  <c r="C29" i="7"/>
  <c r="B29" i="7"/>
  <c r="G28" i="7"/>
  <c r="F28" i="7"/>
  <c r="E28" i="7"/>
  <c r="D28" i="7"/>
  <c r="C28" i="7"/>
  <c r="B28" i="7"/>
  <c r="G27" i="7"/>
  <c r="F27" i="7"/>
  <c r="E27" i="7"/>
  <c r="D27" i="7"/>
  <c r="C27" i="7"/>
  <c r="B27" i="7"/>
  <c r="G26" i="7"/>
  <c r="F26" i="7"/>
  <c r="E26" i="7"/>
  <c r="D26" i="7"/>
  <c r="C26" i="7"/>
  <c r="B26" i="7"/>
  <c r="G25" i="7"/>
  <c r="F25" i="7"/>
  <c r="E25" i="7"/>
  <c r="D25" i="7"/>
  <c r="C25" i="7"/>
  <c r="B25" i="7"/>
  <c r="G24" i="7"/>
  <c r="F24" i="7"/>
  <c r="E24" i="7"/>
  <c r="D24" i="7"/>
  <c r="C24" i="7"/>
  <c r="B24" i="7"/>
  <c r="G23" i="7"/>
  <c r="F23" i="7"/>
  <c r="E23" i="7"/>
  <c r="D23" i="7"/>
  <c r="C23" i="7"/>
  <c r="B23" i="7"/>
  <c r="G22" i="7"/>
  <c r="F22" i="7"/>
  <c r="E22" i="7"/>
  <c r="D22" i="7"/>
  <c r="C22" i="7"/>
  <c r="B22" i="7"/>
  <c r="G21" i="7"/>
  <c r="F21" i="7"/>
  <c r="E21" i="7"/>
  <c r="D21" i="7"/>
  <c r="C21" i="7"/>
  <c r="B21" i="7"/>
  <c r="G20" i="7"/>
  <c r="F20" i="7"/>
  <c r="E20" i="7"/>
  <c r="D20" i="7"/>
  <c r="C20" i="7"/>
  <c r="B20" i="7"/>
  <c r="G19" i="7"/>
  <c r="F19" i="7"/>
  <c r="E19" i="7"/>
  <c r="D19" i="7"/>
  <c r="C19" i="7"/>
  <c r="B19" i="7"/>
  <c r="G18" i="7"/>
  <c r="F18" i="7"/>
  <c r="E18" i="7"/>
  <c r="D18" i="7"/>
  <c r="C18" i="7"/>
  <c r="B18" i="7"/>
  <c r="G17" i="7"/>
  <c r="F17" i="7"/>
  <c r="E17" i="7"/>
  <c r="D17" i="7"/>
  <c r="C17" i="7"/>
  <c r="B17" i="7"/>
  <c r="G16" i="7"/>
  <c r="F16" i="7"/>
  <c r="E16" i="7"/>
  <c r="D16" i="7"/>
  <c r="C16" i="7"/>
  <c r="B16" i="7"/>
  <c r="G15" i="7"/>
  <c r="F15" i="7"/>
  <c r="E15" i="7"/>
  <c r="D15" i="7"/>
  <c r="C15" i="7"/>
  <c r="B15" i="7"/>
  <c r="G14" i="7"/>
  <c r="F14" i="7"/>
  <c r="E14" i="7"/>
  <c r="D14" i="7"/>
  <c r="C14" i="7"/>
  <c r="B14" i="7"/>
  <c r="G13" i="7"/>
  <c r="F13" i="7"/>
  <c r="E13" i="7"/>
  <c r="D13" i="7"/>
  <c r="C13" i="7"/>
  <c r="B13" i="7"/>
  <c r="G12" i="7"/>
  <c r="F12" i="7"/>
  <c r="E12" i="7"/>
  <c r="D12" i="7"/>
  <c r="C12" i="7"/>
  <c r="B12" i="7"/>
  <c r="G11" i="7"/>
  <c r="F11" i="7"/>
  <c r="E11" i="7"/>
  <c r="D11" i="7"/>
  <c r="C11" i="7"/>
  <c r="B11" i="7"/>
  <c r="G10" i="7"/>
  <c r="F10" i="7"/>
  <c r="E10" i="7"/>
  <c r="D10" i="7"/>
  <c r="C10" i="7"/>
  <c r="B10" i="7"/>
  <c r="G9" i="7"/>
  <c r="F9" i="7"/>
  <c r="E9" i="7"/>
  <c r="D9" i="7"/>
  <c r="C9" i="7"/>
  <c r="B9" i="7"/>
  <c r="G8" i="7"/>
  <c r="F8" i="7"/>
  <c r="E8" i="7"/>
  <c r="D8" i="7"/>
  <c r="C8" i="7"/>
  <c r="B8" i="7"/>
  <c r="G7" i="7"/>
  <c r="F7" i="7"/>
  <c r="E7" i="7"/>
  <c r="D7" i="7"/>
  <c r="C7" i="7"/>
  <c r="B7" i="7"/>
  <c r="G6" i="7"/>
  <c r="F6" i="7"/>
  <c r="E6" i="7"/>
  <c r="D6" i="7"/>
  <c r="C6" i="7"/>
  <c r="B6" i="7"/>
  <c r="G5" i="7"/>
  <c r="F5" i="7"/>
  <c r="E5" i="7"/>
  <c r="D5" i="7"/>
  <c r="C5" i="7"/>
  <c r="B5" i="7"/>
  <c r="AO4" i="7"/>
  <c r="G4" i="7"/>
  <c r="F4" i="7"/>
  <c r="E4" i="7"/>
  <c r="D4" i="7"/>
  <c r="C4" i="7"/>
  <c r="B4" i="7"/>
  <c r="G3" i="7"/>
  <c r="F3" i="7"/>
  <c r="E3" i="7"/>
  <c r="D3" i="7"/>
  <c r="C3" i="7"/>
  <c r="B3" i="7"/>
  <c r="AO2" i="7"/>
  <c r="G2" i="7"/>
  <c r="G80" i="7" s="1"/>
  <c r="AO1" i="7" s="1"/>
  <c r="F2" i="7"/>
  <c r="F80" i="7" s="1"/>
  <c r="E2" i="7"/>
  <c r="E80" i="7" s="1"/>
  <c r="AO3" i="7" s="1"/>
  <c r="D2" i="7"/>
  <c r="C2" i="7"/>
  <c r="B2" i="7"/>
  <c r="B226" i="6"/>
  <c r="B97" i="6"/>
  <c r="B96" i="6"/>
  <c r="B95" i="6"/>
  <c r="B94" i="6"/>
  <c r="B93" i="6"/>
  <c r="B92" i="6"/>
  <c r="B91" i="6"/>
  <c r="B90" i="6"/>
  <c r="B89" i="6"/>
  <c r="B88" i="6"/>
  <c r="B86" i="6"/>
  <c r="B85" i="6"/>
  <c r="B84" i="6"/>
  <c r="B83" i="6"/>
  <c r="B82" i="6"/>
  <c r="B70" i="6"/>
  <c r="B66" i="6"/>
  <c r="C66" i="6" s="1"/>
  <c r="B64" i="6"/>
  <c r="B60" i="6"/>
  <c r="B48" i="6"/>
  <c r="B45" i="6"/>
  <c r="B36" i="6"/>
  <c r="C36" i="6" s="1"/>
  <c r="B35" i="6"/>
  <c r="C35" i="6" s="1"/>
  <c r="B34" i="6"/>
  <c r="C34" i="6" s="1"/>
  <c r="C33" i="6"/>
  <c r="B33" i="6"/>
  <c r="B32" i="6"/>
  <c r="C32" i="6" s="1"/>
  <c r="B30" i="6"/>
  <c r="C30" i="6" s="1"/>
  <c r="B22" i="6"/>
  <c r="B20" i="6"/>
  <c r="B8" i="6"/>
  <c r="C8" i="6" s="1"/>
  <c r="B6" i="6"/>
  <c r="C6" i="6" s="1"/>
  <c r="C148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73" i="5"/>
  <c r="C69" i="5"/>
  <c r="C67" i="5"/>
  <c r="C63" i="5"/>
  <c r="C51" i="5"/>
  <c r="C48" i="5"/>
  <c r="C39" i="5"/>
  <c r="C38" i="5"/>
  <c r="C37" i="5"/>
  <c r="C36" i="5"/>
  <c r="C35" i="5"/>
  <c r="C33" i="5"/>
  <c r="C25" i="5"/>
  <c r="C23" i="5"/>
  <c r="C11" i="5"/>
  <c r="C9" i="5"/>
  <c r="B2" i="5"/>
  <c r="A2" i="5"/>
  <c r="K418" i="3"/>
  <c r="K417" i="3"/>
  <c r="K416" i="3"/>
  <c r="K415" i="3"/>
  <c r="K414" i="3"/>
  <c r="K413" i="3"/>
  <c r="K412" i="3"/>
  <c r="K411" i="3"/>
  <c r="K410" i="3"/>
  <c r="K409" i="3"/>
  <c r="K408" i="3"/>
  <c r="K407" i="3"/>
  <c r="K406" i="3"/>
  <c r="K405" i="3"/>
  <c r="K404" i="3"/>
  <c r="K403" i="3"/>
  <c r="K402" i="3"/>
  <c r="K401" i="3"/>
  <c r="K400" i="3"/>
  <c r="K399" i="3"/>
  <c r="K398" i="3"/>
  <c r="K397" i="3"/>
  <c r="K396" i="3"/>
  <c r="K395" i="3"/>
  <c r="K394" i="3"/>
  <c r="K393" i="3"/>
  <c r="K392" i="3"/>
  <c r="K391" i="3"/>
  <c r="K390" i="3"/>
  <c r="K389" i="3"/>
  <c r="K388" i="3"/>
  <c r="K387" i="3"/>
  <c r="K386" i="3"/>
  <c r="K385" i="3"/>
  <c r="K384" i="3"/>
  <c r="K383" i="3"/>
  <c r="K382" i="3"/>
  <c r="K381" i="3"/>
  <c r="K380" i="3"/>
  <c r="K379" i="3"/>
  <c r="K378" i="3"/>
  <c r="K377" i="3"/>
  <c r="K376" i="3"/>
  <c r="K375" i="3"/>
  <c r="K374" i="3"/>
  <c r="E147" i="4" s="1"/>
  <c r="G148" i="4" s="1"/>
  <c r="K373" i="3"/>
  <c r="K372" i="3"/>
  <c r="K371" i="3"/>
  <c r="K370" i="3"/>
  <c r="K369" i="3"/>
  <c r="E146" i="4" s="1"/>
  <c r="B17" i="6" s="1"/>
  <c r="K368" i="3"/>
  <c r="K367" i="3"/>
  <c r="K366" i="3"/>
  <c r="K365" i="3"/>
  <c r="E217" i="4" s="1"/>
  <c r="B68" i="6" s="1"/>
  <c r="K364" i="3"/>
  <c r="E152" i="4" s="1"/>
  <c r="G153" i="4" s="1"/>
  <c r="K363" i="3"/>
  <c r="K362" i="3"/>
  <c r="K420" i="3" s="1"/>
  <c r="K361" i="3"/>
  <c r="K360" i="3"/>
  <c r="K359" i="3"/>
  <c r="K358" i="3"/>
  <c r="K357" i="3"/>
  <c r="K356" i="3"/>
  <c r="K355" i="3"/>
  <c r="K354" i="3"/>
  <c r="K353" i="3"/>
  <c r="K352" i="3"/>
  <c r="E151" i="4" s="1"/>
  <c r="B87" i="6" s="1"/>
  <c r="K351" i="3"/>
  <c r="E218" i="4" s="1"/>
  <c r="G219" i="4" s="1"/>
  <c r="K350" i="3"/>
  <c r="K349" i="3"/>
  <c r="K348" i="3"/>
  <c r="E288" i="4" s="1"/>
  <c r="G289" i="4" s="1"/>
  <c r="K347" i="3"/>
  <c r="E287" i="4" s="1"/>
  <c r="K346" i="3"/>
  <c r="K345" i="3"/>
  <c r="K344" i="3"/>
  <c r="K343" i="3"/>
  <c r="K342" i="3"/>
  <c r="K341" i="3"/>
  <c r="K340" i="3"/>
  <c r="K339" i="3"/>
  <c r="K338" i="3"/>
  <c r="K337" i="3"/>
  <c r="K336" i="3"/>
  <c r="K335" i="3"/>
  <c r="K334" i="3"/>
  <c r="K333" i="3"/>
  <c r="K332" i="3"/>
  <c r="E271" i="4" s="1"/>
  <c r="G272" i="4" s="1"/>
  <c r="K331" i="3"/>
  <c r="E266" i="4" s="1"/>
  <c r="G267" i="4" s="1"/>
  <c r="K330" i="3"/>
  <c r="K329" i="3"/>
  <c r="E274" i="4" s="1"/>
  <c r="K328" i="3"/>
  <c r="E269" i="4" s="1"/>
  <c r="K327" i="3"/>
  <c r="K326" i="3"/>
  <c r="K325" i="3"/>
  <c r="E89" i="4" s="1"/>
  <c r="K324" i="3"/>
  <c r="K323" i="3"/>
  <c r="K322" i="3"/>
  <c r="K321" i="3"/>
  <c r="K320" i="3"/>
  <c r="K319" i="3"/>
  <c r="K318" i="3"/>
  <c r="K317" i="3"/>
  <c r="K316" i="3"/>
  <c r="K315" i="3"/>
  <c r="K314" i="3"/>
  <c r="K313" i="3"/>
  <c r="K312" i="3"/>
  <c r="K311" i="3"/>
  <c r="K310" i="3"/>
  <c r="K309" i="3"/>
  <c r="K308" i="3"/>
  <c r="K307" i="3"/>
  <c r="K306" i="3"/>
  <c r="K305" i="3"/>
  <c r="K304" i="3"/>
  <c r="K303" i="3"/>
  <c r="K302" i="3"/>
  <c r="K301" i="3"/>
  <c r="K300" i="3"/>
  <c r="K299" i="3"/>
  <c r="K298" i="3"/>
  <c r="K297" i="3"/>
  <c r="K296" i="3"/>
  <c r="K295" i="3"/>
  <c r="K294" i="3"/>
  <c r="K293" i="3"/>
  <c r="K292" i="3"/>
  <c r="K291" i="3"/>
  <c r="K290" i="3"/>
  <c r="K289" i="3"/>
  <c r="K288" i="3"/>
  <c r="K287" i="3"/>
  <c r="K286" i="3"/>
  <c r="K285" i="3"/>
  <c r="K284" i="3"/>
  <c r="K283" i="3"/>
  <c r="K282" i="3"/>
  <c r="K281" i="3"/>
  <c r="K280" i="3"/>
  <c r="K279" i="3"/>
  <c r="K278" i="3"/>
  <c r="K277" i="3"/>
  <c r="K276" i="3"/>
  <c r="K275" i="3"/>
  <c r="K274" i="3"/>
  <c r="K273" i="3"/>
  <c r="K272" i="3"/>
  <c r="K271" i="3"/>
  <c r="K270" i="3"/>
  <c r="K269" i="3"/>
  <c r="K268" i="3"/>
  <c r="K267" i="3"/>
  <c r="K266" i="3"/>
  <c r="K265" i="3"/>
  <c r="K264" i="3"/>
  <c r="K263" i="3"/>
  <c r="K262" i="3"/>
  <c r="K261" i="3"/>
  <c r="K260" i="3"/>
  <c r="K259" i="3"/>
  <c r="K258" i="3"/>
  <c r="K257" i="3"/>
  <c r="K256" i="3"/>
  <c r="K255" i="3"/>
  <c r="K254" i="3"/>
  <c r="K253" i="3"/>
  <c r="K252" i="3"/>
  <c r="K251" i="3"/>
  <c r="K250" i="3"/>
  <c r="K249" i="3"/>
  <c r="K248" i="3"/>
  <c r="K247" i="3"/>
  <c r="K246" i="3"/>
  <c r="K245" i="3"/>
  <c r="K244" i="3"/>
  <c r="K243" i="3"/>
  <c r="K242" i="3"/>
  <c r="K241" i="3"/>
  <c r="K240" i="3"/>
  <c r="K239" i="3"/>
  <c r="K238" i="3"/>
  <c r="K237" i="3"/>
  <c r="K236" i="3"/>
  <c r="K235" i="3"/>
  <c r="K234" i="3"/>
  <c r="K233" i="3"/>
  <c r="K232" i="3"/>
  <c r="K231" i="3"/>
  <c r="K230" i="3"/>
  <c r="K229" i="3"/>
  <c r="K228" i="3"/>
  <c r="K227" i="3"/>
  <c r="K226" i="3"/>
  <c r="K225" i="3"/>
  <c r="K224" i="3"/>
  <c r="K223" i="3"/>
  <c r="K222" i="3"/>
  <c r="K221" i="3"/>
  <c r="K220" i="3"/>
  <c r="K219" i="3"/>
  <c r="K218" i="3"/>
  <c r="K217" i="3"/>
  <c r="K216" i="3"/>
  <c r="K215" i="3"/>
  <c r="K214" i="3"/>
  <c r="K213" i="3"/>
  <c r="K212" i="3"/>
  <c r="K211" i="3"/>
  <c r="K210" i="3"/>
  <c r="K209" i="3"/>
  <c r="K208" i="3"/>
  <c r="K207" i="3"/>
  <c r="K206" i="3"/>
  <c r="K205" i="3"/>
  <c r="K204" i="3"/>
  <c r="K203" i="3"/>
  <c r="K202" i="3"/>
  <c r="K201" i="3"/>
  <c r="K200" i="3"/>
  <c r="K199" i="3"/>
  <c r="K198" i="3"/>
  <c r="K197" i="3"/>
  <c r="K196" i="3"/>
  <c r="K195" i="3"/>
  <c r="K194" i="3"/>
  <c r="K193" i="3"/>
  <c r="K192" i="3"/>
  <c r="K191" i="3"/>
  <c r="K190" i="3"/>
  <c r="K189" i="3"/>
  <c r="K188" i="3"/>
  <c r="K187" i="3"/>
  <c r="K186" i="3"/>
  <c r="K185" i="3"/>
  <c r="K184" i="3"/>
  <c r="K183" i="3"/>
  <c r="K182" i="3"/>
  <c r="K181" i="3"/>
  <c r="K180" i="3"/>
  <c r="K179" i="3"/>
  <c r="K178" i="3"/>
  <c r="K177" i="3"/>
  <c r="K176" i="3"/>
  <c r="K175" i="3"/>
  <c r="K174" i="3"/>
  <c r="K173" i="3"/>
  <c r="K172" i="3"/>
  <c r="K171" i="3"/>
  <c r="K170" i="3"/>
  <c r="K169" i="3"/>
  <c r="K168" i="3"/>
  <c r="K167" i="3"/>
  <c r="K166" i="3"/>
  <c r="K165" i="3"/>
  <c r="K164" i="3"/>
  <c r="K163" i="3"/>
  <c r="K162" i="3"/>
  <c r="K161" i="3"/>
  <c r="K160" i="3"/>
  <c r="K159" i="3"/>
  <c r="K158" i="3"/>
  <c r="K157" i="3"/>
  <c r="K156" i="3"/>
  <c r="K155" i="3"/>
  <c r="K154" i="3"/>
  <c r="K153" i="3"/>
  <c r="K152" i="3"/>
  <c r="K151" i="3"/>
  <c r="K150" i="3"/>
  <c r="K149" i="3"/>
  <c r="K148" i="3"/>
  <c r="K147" i="3"/>
  <c r="K146" i="3"/>
  <c r="K145" i="3"/>
  <c r="K144" i="3"/>
  <c r="K143" i="3"/>
  <c r="K142" i="3"/>
  <c r="K141" i="3"/>
  <c r="K140" i="3"/>
  <c r="K139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E289" i="4"/>
  <c r="E286" i="4"/>
  <c r="E284" i="4"/>
  <c r="E283" i="4"/>
  <c r="G284" i="4" s="1"/>
  <c r="E282" i="4"/>
  <c r="E281" i="4"/>
  <c r="G282" i="4" s="1"/>
  <c r="E279" i="4"/>
  <c r="E278" i="4"/>
  <c r="G279" i="4" s="1"/>
  <c r="E277" i="4"/>
  <c r="E276" i="4"/>
  <c r="G277" i="4" s="1"/>
  <c r="E273" i="4"/>
  <c r="E272" i="4"/>
  <c r="E268" i="4"/>
  <c r="E267" i="4"/>
  <c r="E264" i="4"/>
  <c r="E263" i="4"/>
  <c r="G264" i="4" s="1"/>
  <c r="E262" i="4"/>
  <c r="E261" i="4"/>
  <c r="G262" i="4" s="1"/>
  <c r="E259" i="4"/>
  <c r="E258" i="4"/>
  <c r="G259" i="4" s="1"/>
  <c r="E257" i="4"/>
  <c r="E256" i="4"/>
  <c r="G257" i="4" s="1"/>
  <c r="E254" i="4"/>
  <c r="E253" i="4"/>
  <c r="G254" i="4" s="1"/>
  <c r="E252" i="4"/>
  <c r="E251" i="4"/>
  <c r="G252" i="4" s="1"/>
  <c r="E249" i="4"/>
  <c r="B54" i="6" s="1"/>
  <c r="E248" i="4"/>
  <c r="G249" i="4" s="1"/>
  <c r="E247" i="4"/>
  <c r="E246" i="4"/>
  <c r="G247" i="4" s="1"/>
  <c r="E244" i="4"/>
  <c r="B53" i="6" s="1"/>
  <c r="E243" i="4"/>
  <c r="G244" i="4" s="1"/>
  <c r="E242" i="4"/>
  <c r="E241" i="4"/>
  <c r="G242" i="4" s="1"/>
  <c r="E239" i="4"/>
  <c r="B9" i="6" s="1"/>
  <c r="E238" i="4"/>
  <c r="G239" i="4" s="1"/>
  <c r="G237" i="4"/>
  <c r="E237" i="4"/>
  <c r="E236" i="4"/>
  <c r="E234" i="4"/>
  <c r="E233" i="4"/>
  <c r="G234" i="4" s="1"/>
  <c r="E232" i="4"/>
  <c r="E231" i="4"/>
  <c r="G232" i="4" s="1"/>
  <c r="E229" i="4"/>
  <c r="E228" i="4"/>
  <c r="G229" i="4" s="1"/>
  <c r="E227" i="4"/>
  <c r="E226" i="4"/>
  <c r="G227" i="4" s="1"/>
  <c r="E224" i="4"/>
  <c r="E223" i="4"/>
  <c r="G224" i="4" s="1"/>
  <c r="E222" i="4"/>
  <c r="B28" i="6" s="1"/>
  <c r="E221" i="4"/>
  <c r="G222" i="4" s="1"/>
  <c r="E219" i="4"/>
  <c r="E216" i="4"/>
  <c r="G217" i="4" s="1"/>
  <c r="E214" i="4"/>
  <c r="B55" i="6" s="1"/>
  <c r="E213" i="4"/>
  <c r="G214" i="4" s="1"/>
  <c r="E212" i="4"/>
  <c r="B38" i="6" s="1"/>
  <c r="E211" i="4"/>
  <c r="G212" i="4" s="1"/>
  <c r="E209" i="4"/>
  <c r="B73" i="6" s="1"/>
  <c r="E208" i="4"/>
  <c r="G209" i="4" s="1"/>
  <c r="E207" i="4"/>
  <c r="B69" i="6" s="1"/>
  <c r="E206" i="4"/>
  <c r="G207" i="4" s="1"/>
  <c r="E204" i="4"/>
  <c r="B71" i="6" s="1"/>
  <c r="E203" i="4"/>
  <c r="G204" i="4" s="1"/>
  <c r="E202" i="4"/>
  <c r="E201" i="4"/>
  <c r="G202" i="4" s="1"/>
  <c r="E199" i="4"/>
  <c r="B65" i="6" s="1"/>
  <c r="E198" i="4"/>
  <c r="G199" i="4" s="1"/>
  <c r="E197" i="4"/>
  <c r="B23" i="6" s="1"/>
  <c r="E196" i="4"/>
  <c r="G197" i="4" s="1"/>
  <c r="E194" i="4"/>
  <c r="B75" i="6" s="1"/>
  <c r="E193" i="4"/>
  <c r="G194" i="4" s="1"/>
  <c r="E192" i="4"/>
  <c r="B24" i="6" s="1"/>
  <c r="E191" i="4"/>
  <c r="G192" i="4" s="1"/>
  <c r="E189" i="4"/>
  <c r="B57" i="6" s="1"/>
  <c r="E188" i="4"/>
  <c r="G189" i="4" s="1"/>
  <c r="E187" i="4"/>
  <c r="B42" i="6" s="1"/>
  <c r="E186" i="4"/>
  <c r="G187" i="4" s="1"/>
  <c r="E184" i="4"/>
  <c r="B56" i="6" s="1"/>
  <c r="E183" i="4"/>
  <c r="G184" i="4" s="1"/>
  <c r="E182" i="4"/>
  <c r="B40" i="6" s="1"/>
  <c r="E181" i="4"/>
  <c r="G182" i="4" s="1"/>
  <c r="E179" i="4"/>
  <c r="B61" i="6" s="1"/>
  <c r="E178" i="4"/>
  <c r="G179" i="4" s="1"/>
  <c r="E177" i="4"/>
  <c r="B98" i="6" s="1"/>
  <c r="E176" i="4"/>
  <c r="G177" i="4" s="1"/>
  <c r="E174" i="4"/>
  <c r="B15" i="6" s="1"/>
  <c r="E173" i="4"/>
  <c r="G174" i="4" s="1"/>
  <c r="E172" i="4"/>
  <c r="E171" i="4"/>
  <c r="G172" i="4" s="1"/>
  <c r="E169" i="4"/>
  <c r="B10" i="6" s="1"/>
  <c r="E168" i="4"/>
  <c r="G169" i="4" s="1"/>
  <c r="E167" i="4"/>
  <c r="B37" i="6" s="1"/>
  <c r="E166" i="4"/>
  <c r="G167" i="4" s="1"/>
  <c r="E163" i="4"/>
  <c r="B18" i="6" s="1"/>
  <c r="E162" i="4"/>
  <c r="G163" i="4" s="1"/>
  <c r="E161" i="4"/>
  <c r="B74" i="6" s="1"/>
  <c r="E160" i="4"/>
  <c r="G161" i="4" s="1"/>
  <c r="E158" i="4"/>
  <c r="B46" i="6" s="1"/>
  <c r="E157" i="4"/>
  <c r="G158" i="4" s="1"/>
  <c r="E156" i="4"/>
  <c r="G156" i="4" s="1"/>
  <c r="E155" i="4"/>
  <c r="E153" i="4"/>
  <c r="E150" i="4"/>
  <c r="G151" i="4" s="1"/>
  <c r="E148" i="4"/>
  <c r="E145" i="4"/>
  <c r="G146" i="4" s="1"/>
  <c r="E143" i="4"/>
  <c r="C143" i="4"/>
  <c r="E142" i="4"/>
  <c r="G143" i="4" s="1"/>
  <c r="C142" i="4"/>
  <c r="E141" i="4"/>
  <c r="B58" i="6" s="1"/>
  <c r="C141" i="4"/>
  <c r="E140" i="4"/>
  <c r="G141" i="4" s="1"/>
  <c r="C140" i="4"/>
  <c r="E138" i="4"/>
  <c r="B41" i="6" s="1"/>
  <c r="C138" i="4"/>
  <c r="E137" i="4"/>
  <c r="G138" i="4" s="1"/>
  <c r="C137" i="4"/>
  <c r="C136" i="4"/>
  <c r="E135" i="4"/>
  <c r="B39" i="6" s="1"/>
  <c r="C135" i="4"/>
  <c r="E134" i="4"/>
  <c r="G135" i="4" s="1"/>
  <c r="C134" i="4"/>
  <c r="E132" i="4"/>
  <c r="B44" i="6" s="1"/>
  <c r="C132" i="4"/>
  <c r="E131" i="4"/>
  <c r="G132" i="4" s="1"/>
  <c r="C131" i="4"/>
  <c r="E129" i="4"/>
  <c r="B43" i="6" s="1"/>
  <c r="C129" i="4"/>
  <c r="E128" i="4"/>
  <c r="G129" i="4" s="1"/>
  <c r="C128" i="4"/>
  <c r="E127" i="4"/>
  <c r="B11" i="6" s="1"/>
  <c r="C127" i="4"/>
  <c r="E126" i="4"/>
  <c r="G127" i="4" s="1"/>
  <c r="C126" i="4"/>
  <c r="E124" i="4"/>
  <c r="B67" i="6" s="1"/>
  <c r="E123" i="4"/>
  <c r="G124" i="4" s="1"/>
  <c r="E122" i="4"/>
  <c r="B62" i="6" s="1"/>
  <c r="E121" i="4"/>
  <c r="G122" i="4" s="1"/>
  <c r="E119" i="4"/>
  <c r="B72" i="6" s="1"/>
  <c r="E118" i="4"/>
  <c r="G119" i="4" s="1"/>
  <c r="E117" i="4"/>
  <c r="B63" i="6" s="1"/>
  <c r="E116" i="4"/>
  <c r="G117" i="4" s="1"/>
  <c r="E114" i="4"/>
  <c r="E113" i="4"/>
  <c r="E112" i="4"/>
  <c r="E111" i="4"/>
  <c r="A109" i="4"/>
  <c r="E109" i="4" s="1"/>
  <c r="A108" i="4"/>
  <c r="E108" i="4" s="1"/>
  <c r="A107" i="4"/>
  <c r="E107" i="4" s="1"/>
  <c r="A106" i="4"/>
  <c r="E106" i="4" s="1"/>
  <c r="E104" i="4"/>
  <c r="E103" i="4"/>
  <c r="E102" i="4"/>
  <c r="E101" i="4"/>
  <c r="H98" i="4"/>
  <c r="G98" i="4"/>
  <c r="E98" i="4"/>
  <c r="E97" i="4"/>
  <c r="H97" i="4" s="1"/>
  <c r="E95" i="4"/>
  <c r="H95" i="4" s="1"/>
  <c r="E94" i="4"/>
  <c r="E93" i="4"/>
  <c r="H93" i="4" s="1"/>
  <c r="E92" i="4"/>
  <c r="E90" i="4"/>
  <c r="H90" i="4" s="1"/>
  <c r="E88" i="4"/>
  <c r="H88" i="4" s="1"/>
  <c r="E87" i="4"/>
  <c r="E85" i="4"/>
  <c r="E84" i="4"/>
  <c r="E83" i="4"/>
  <c r="H83" i="4" s="1"/>
  <c r="E82" i="4"/>
  <c r="E80" i="4"/>
  <c r="H80" i="4" s="1"/>
  <c r="E79" i="4"/>
  <c r="A77" i="4"/>
  <c r="E77" i="4" s="1"/>
  <c r="A76" i="4"/>
  <c r="E76" i="4" s="1"/>
  <c r="E75" i="4"/>
  <c r="H75" i="4" s="1"/>
  <c r="E74" i="4"/>
  <c r="E73" i="4"/>
  <c r="E72" i="4"/>
  <c r="A70" i="4"/>
  <c r="E70" i="4" s="1"/>
  <c r="A69" i="4"/>
  <c r="E69" i="4" s="1"/>
  <c r="E67" i="4"/>
  <c r="H67" i="4" s="1"/>
  <c r="E66" i="4"/>
  <c r="E65" i="4"/>
  <c r="B77" i="6" s="1"/>
  <c r="E64" i="4"/>
  <c r="G65" i="4" s="1"/>
  <c r="E62" i="4"/>
  <c r="H62" i="4" s="1"/>
  <c r="E61" i="4"/>
  <c r="E60" i="4"/>
  <c r="E59" i="4"/>
  <c r="E57" i="4"/>
  <c r="E56" i="4"/>
  <c r="E55" i="4"/>
  <c r="E54" i="4"/>
  <c r="E52" i="4"/>
  <c r="E51" i="4"/>
  <c r="H50" i="4"/>
  <c r="G50" i="4"/>
  <c r="E50" i="4"/>
  <c r="E49" i="4"/>
  <c r="H49" i="4" s="1"/>
  <c r="E47" i="4"/>
  <c r="H47" i="4" s="1"/>
  <c r="E46" i="4"/>
  <c r="H46" i="4" s="1"/>
  <c r="E45" i="4"/>
  <c r="E44" i="4"/>
  <c r="H44" i="4" s="1"/>
  <c r="E43" i="4"/>
  <c r="E41" i="4"/>
  <c r="H41" i="4" s="1"/>
  <c r="E40" i="4"/>
  <c r="E39" i="4"/>
  <c r="E38" i="4"/>
  <c r="E36" i="4"/>
  <c r="H36" i="4" s="1"/>
  <c r="E35" i="4"/>
  <c r="E34" i="4"/>
  <c r="E33" i="4"/>
  <c r="E31" i="4"/>
  <c r="E30" i="4"/>
  <c r="E29" i="4"/>
  <c r="E28" i="4"/>
  <c r="E26" i="4"/>
  <c r="H26" i="4" s="1"/>
  <c r="E25" i="4"/>
  <c r="E24" i="4"/>
  <c r="E23" i="4"/>
  <c r="E21" i="4"/>
  <c r="E20" i="4"/>
  <c r="E19" i="4"/>
  <c r="E18" i="4"/>
  <c r="E16" i="4"/>
  <c r="E15" i="4"/>
  <c r="E14" i="4"/>
  <c r="E13" i="4"/>
  <c r="E11" i="4"/>
  <c r="E10" i="4"/>
  <c r="E9" i="4"/>
  <c r="E8" i="4"/>
  <c r="E6" i="4"/>
  <c r="E5" i="4"/>
  <c r="E4" i="4"/>
  <c r="E3" i="4"/>
  <c r="B1" i="4"/>
  <c r="C70" i="6" l="1"/>
  <c r="C64" i="6"/>
  <c r="C60" i="6"/>
  <c r="C48" i="6"/>
  <c r="C45" i="6"/>
  <c r="C22" i="6"/>
  <c r="C20" i="6"/>
  <c r="C226" i="6"/>
  <c r="C247" i="5"/>
  <c r="C97" i="6"/>
  <c r="C100" i="5"/>
  <c r="C99" i="5"/>
  <c r="C96" i="6"/>
  <c r="C95" i="6"/>
  <c r="C98" i="5"/>
  <c r="C94" i="6"/>
  <c r="C97" i="5"/>
  <c r="C93" i="6"/>
  <c r="C96" i="5"/>
  <c r="C95" i="5"/>
  <c r="C92" i="6"/>
  <c r="C91" i="6"/>
  <c r="C94" i="5"/>
  <c r="C90" i="6"/>
  <c r="C93" i="5"/>
  <c r="C89" i="6"/>
  <c r="C92" i="5"/>
  <c r="C91" i="5"/>
  <c r="C88" i="6"/>
  <c r="C86" i="6"/>
  <c r="C89" i="5"/>
  <c r="C88" i="5"/>
  <c r="C85" i="6"/>
  <c r="C87" i="5"/>
  <c r="C84" i="6"/>
  <c r="C83" i="6"/>
  <c r="C86" i="5"/>
  <c r="C82" i="6"/>
  <c r="C85" i="5"/>
  <c r="C17" i="6"/>
  <c r="C20" i="5"/>
  <c r="C68" i="6"/>
  <c r="C71" i="5"/>
  <c r="C87" i="6"/>
  <c r="C90" i="5"/>
  <c r="H89" i="4"/>
  <c r="G90" i="4"/>
  <c r="C54" i="6"/>
  <c r="C57" i="5"/>
  <c r="C53" i="6"/>
  <c r="C56" i="5"/>
  <c r="C9" i="6"/>
  <c r="C12" i="5"/>
  <c r="C28" i="6"/>
  <c r="C31" i="5"/>
  <c r="C55" i="6"/>
  <c r="C58" i="5"/>
  <c r="C38" i="6"/>
  <c r="C41" i="5"/>
  <c r="C73" i="6"/>
  <c r="C76" i="5"/>
  <c r="C69" i="6"/>
  <c r="C72" i="5"/>
  <c r="C71" i="6"/>
  <c r="C74" i="5"/>
  <c r="C65" i="6"/>
  <c r="C68" i="5"/>
  <c r="C23" i="6"/>
  <c r="C26" i="5"/>
  <c r="C75" i="6"/>
  <c r="C78" i="5"/>
  <c r="C24" i="6"/>
  <c r="C27" i="5"/>
  <c r="C57" i="6"/>
  <c r="C60" i="5"/>
  <c r="C42" i="6"/>
  <c r="C45" i="5"/>
  <c r="C56" i="6"/>
  <c r="C59" i="5"/>
  <c r="C40" i="6"/>
  <c r="C43" i="5"/>
  <c r="C61" i="6"/>
  <c r="C64" i="5"/>
  <c r="C98" i="6"/>
  <c r="C101" i="5"/>
  <c r="C15" i="6"/>
  <c r="C18" i="5"/>
  <c r="C10" i="6"/>
  <c r="C13" i="5"/>
  <c r="C37" i="6"/>
  <c r="C40" i="5"/>
  <c r="C18" i="6"/>
  <c r="C21" i="5"/>
  <c r="C74" i="6"/>
  <c r="C77" i="5"/>
  <c r="C46" i="6"/>
  <c r="C49" i="5"/>
  <c r="C58" i="6"/>
  <c r="C61" i="5"/>
  <c r="C41" i="6"/>
  <c r="C44" i="5"/>
  <c r="C39" i="6"/>
  <c r="C42" i="5"/>
  <c r="C44" i="6"/>
  <c r="C47" i="5"/>
  <c r="C43" i="6"/>
  <c r="C46" i="5"/>
  <c r="C11" i="6"/>
  <c r="C14" i="5"/>
  <c r="C67" i="6"/>
  <c r="C70" i="5"/>
  <c r="C62" i="6"/>
  <c r="C65" i="5"/>
  <c r="C72" i="6"/>
  <c r="C75" i="5"/>
  <c r="C63" i="6"/>
  <c r="C66" i="5"/>
  <c r="B79" i="6"/>
  <c r="H114" i="4"/>
  <c r="H113" i="4"/>
  <c r="G114" i="4"/>
  <c r="B51" i="6"/>
  <c r="H112" i="4"/>
  <c r="G112" i="4"/>
  <c r="H111" i="4"/>
  <c r="H109" i="4"/>
  <c r="B29" i="6"/>
  <c r="H108" i="4"/>
  <c r="G109" i="4"/>
  <c r="H107" i="4"/>
  <c r="B7" i="6"/>
  <c r="H106" i="4"/>
  <c r="G107" i="4"/>
  <c r="B52" i="6"/>
  <c r="H104" i="4"/>
  <c r="H103" i="4"/>
  <c r="G104" i="4"/>
  <c r="B31" i="6"/>
  <c r="H102" i="4"/>
  <c r="G102" i="4"/>
  <c r="H101" i="4"/>
  <c r="G95" i="4"/>
  <c r="H94" i="4"/>
  <c r="G93" i="4"/>
  <c r="H92" i="4"/>
  <c r="H87" i="4"/>
  <c r="G88" i="4"/>
  <c r="H85" i="4"/>
  <c r="B59" i="6"/>
  <c r="G85" i="4"/>
  <c r="H84" i="4"/>
  <c r="G83" i="4"/>
  <c r="H82" i="4"/>
  <c r="G80" i="4"/>
  <c r="H79" i="4"/>
  <c r="H77" i="4"/>
  <c r="B81" i="6"/>
  <c r="H76" i="4"/>
  <c r="G77" i="4"/>
  <c r="G75" i="4"/>
  <c r="H74" i="4"/>
  <c r="B80" i="6"/>
  <c r="H73" i="4"/>
  <c r="G73" i="4"/>
  <c r="H72" i="4"/>
  <c r="H70" i="4"/>
  <c r="B78" i="6"/>
  <c r="H69" i="4"/>
  <c r="G70" i="4"/>
  <c r="G67" i="4"/>
  <c r="H66" i="4"/>
  <c r="C77" i="6"/>
  <c r="C80" i="5"/>
  <c r="H61" i="4"/>
  <c r="G62" i="4"/>
  <c r="H60" i="4"/>
  <c r="B27" i="6"/>
  <c r="G60" i="4"/>
  <c r="H59" i="4"/>
  <c r="B50" i="6"/>
  <c r="H57" i="4"/>
  <c r="H56" i="4"/>
  <c r="G57" i="4"/>
  <c r="H55" i="4"/>
  <c r="B26" i="6"/>
  <c r="H54" i="4"/>
  <c r="G55" i="4"/>
  <c r="B49" i="6"/>
  <c r="H52" i="4"/>
  <c r="G52" i="4"/>
  <c r="H51" i="4"/>
  <c r="H45" i="4"/>
  <c r="G47" i="4"/>
  <c r="H43" i="4"/>
  <c r="G44" i="4"/>
  <c r="G41" i="4"/>
  <c r="H40" i="4"/>
  <c r="B16" i="6"/>
  <c r="H39" i="4"/>
  <c r="G39" i="4"/>
  <c r="H38" i="4"/>
  <c r="G36" i="4"/>
  <c r="H35" i="4"/>
  <c r="B14" i="6"/>
  <c r="H34" i="4"/>
  <c r="G34" i="4"/>
  <c r="H33" i="4"/>
  <c r="B47" i="6"/>
  <c r="H31" i="4"/>
  <c r="H30" i="4"/>
  <c r="G31" i="4"/>
  <c r="B13" i="6"/>
  <c r="H29" i="4"/>
  <c r="G29" i="4"/>
  <c r="H28" i="4"/>
  <c r="G26" i="4"/>
  <c r="H25" i="4"/>
  <c r="H24" i="4"/>
  <c r="B12" i="6"/>
  <c r="G24" i="4"/>
  <c r="H23" i="4"/>
  <c r="H21" i="4"/>
  <c r="B76" i="6"/>
  <c r="H20" i="4"/>
  <c r="G21" i="4"/>
  <c r="H19" i="4"/>
  <c r="B5" i="6"/>
  <c r="G19" i="4"/>
  <c r="H18" i="4"/>
  <c r="H16" i="4"/>
  <c r="B25" i="6"/>
  <c r="G16" i="4"/>
  <c r="H15" i="4"/>
  <c r="H14" i="4"/>
  <c r="B4" i="6"/>
  <c r="H13" i="4"/>
  <c r="G14" i="4"/>
  <c r="H11" i="4"/>
  <c r="B21" i="6"/>
  <c r="G11" i="4"/>
  <c r="H10" i="4"/>
  <c r="B3" i="6"/>
  <c r="H9" i="4"/>
  <c r="H8" i="4"/>
  <c r="G9" i="4"/>
  <c r="H6" i="4"/>
  <c r="B19" i="6"/>
  <c r="G6" i="4"/>
  <c r="H5" i="4"/>
  <c r="E294" i="4"/>
  <c r="B130" i="5" s="1"/>
  <c r="H4" i="4"/>
  <c r="B2" i="6"/>
  <c r="E295" i="4"/>
  <c r="C130" i="5" s="1"/>
  <c r="H3" i="4"/>
  <c r="E292" i="4"/>
  <c r="G4" i="4"/>
  <c r="G287" i="4"/>
  <c r="G274" i="4"/>
  <c r="G269" i="4"/>
  <c r="C79" i="6" l="1"/>
  <c r="C82" i="5"/>
  <c r="C51" i="6"/>
  <c r="C54" i="5"/>
  <c r="C29" i="6"/>
  <c r="C32" i="5"/>
  <c r="C7" i="6"/>
  <c r="C10" i="5"/>
  <c r="C52" i="6"/>
  <c r="C55" i="5"/>
  <c r="C31" i="6"/>
  <c r="C34" i="5"/>
  <c r="C59" i="6"/>
  <c r="C62" i="5"/>
  <c r="C81" i="6"/>
  <c r="C84" i="5"/>
  <c r="C80" i="6"/>
  <c r="C83" i="5"/>
  <c r="C78" i="6"/>
  <c r="C81" i="5"/>
  <c r="C27" i="6"/>
  <c r="C30" i="5"/>
  <c r="C50" i="6"/>
  <c r="C53" i="5"/>
  <c r="C26" i="6"/>
  <c r="C29" i="5"/>
  <c r="C49" i="6"/>
  <c r="C52" i="5"/>
  <c r="C16" i="6"/>
  <c r="C19" i="5"/>
  <c r="C14" i="6"/>
  <c r="C17" i="5"/>
  <c r="C47" i="6"/>
  <c r="C50" i="5"/>
  <c r="C13" i="6"/>
  <c r="C16" i="5"/>
  <c r="C12" i="6"/>
  <c r="C15" i="5"/>
  <c r="C76" i="6"/>
  <c r="C79" i="5"/>
  <c r="C5" i="6"/>
  <c r="C8" i="5"/>
  <c r="C25" i="6"/>
  <c r="C28" i="5"/>
  <c r="C4" i="6"/>
  <c r="C7" i="5"/>
  <c r="C21" i="6"/>
  <c r="C24" i="5"/>
  <c r="C3" i="6"/>
  <c r="C6" i="5"/>
  <c r="C19" i="6"/>
  <c r="C22" i="5"/>
  <c r="C2" i="6"/>
  <c r="B100" i="6"/>
  <c r="B131" i="5" s="1"/>
  <c r="B101" i="6"/>
  <c r="C131" i="5" s="1"/>
  <c r="C5" i="5"/>
  <c r="G292" i="4"/>
  <c r="C124" i="5" l="1"/>
  <c r="B132" i="5" s="1"/>
  <c r="B134" i="5" s="1"/>
  <c r="C125" i="5"/>
  <c r="C132" i="5" s="1"/>
  <c r="C134" i="5" s="1"/>
  <c r="A2" i="4"/>
  <c r="H292" i="4"/>
</calcChain>
</file>

<file path=xl/sharedStrings.xml><?xml version="1.0" encoding="utf-8"?>
<sst xmlns="http://schemas.openxmlformats.org/spreadsheetml/2006/main" count="2402" uniqueCount="1085">
  <si>
    <t>TREASURY FIELDS</t>
  </si>
  <si>
    <t>COMPANY</t>
  </si>
  <si>
    <t>Account Number</t>
  </si>
  <si>
    <t>Account Description</t>
  </si>
  <si>
    <t>GL Balance</t>
  </si>
  <si>
    <t>Payables Match Receivables</t>
  </si>
  <si>
    <t>Payables is a Credit / Receivables is a Debit</t>
  </si>
  <si>
    <t>Code</t>
  </si>
  <si>
    <t>Description</t>
  </si>
  <si>
    <t>1000 2905024001</t>
  </si>
  <si>
    <t>ICPayToAflIntlUS</t>
  </si>
  <si>
    <t>1100 1301110001</t>
  </si>
  <si>
    <t>I/CInc</t>
  </si>
  <si>
    <t>I_C-INC-INTL</t>
  </si>
  <si>
    <t>IC SETTLE 1000 INC TO 1100 INTL</t>
  </si>
  <si>
    <t>1100 2905010001</t>
  </si>
  <si>
    <t>ICPayToAflInc</t>
  </si>
  <si>
    <t>1000 1301150001</t>
  </si>
  <si>
    <t>I/CAflacInt'l</t>
  </si>
  <si>
    <t>I_C-INTL-INC</t>
  </si>
  <si>
    <t>IC SETTLE 1100 INTL TO 1000 INC</t>
  </si>
  <si>
    <t>1000 2905028016</t>
  </si>
  <si>
    <t>I/CPay-AAMLLC</t>
  </si>
  <si>
    <t>1200 1301110001</t>
  </si>
  <si>
    <t>I_C-INC-AAM</t>
  </si>
  <si>
    <t>IC SETTLE 1000 INC TO 1200 AAM</t>
  </si>
  <si>
    <t>1200 2905010001</t>
  </si>
  <si>
    <t>1000 1301080022</t>
  </si>
  <si>
    <t>I/CRec-AAMLLC</t>
  </si>
  <si>
    <t>I_C-AAM-INC</t>
  </si>
  <si>
    <t>IC SETTLE 1200 AAM TO 1000 INC</t>
  </si>
  <si>
    <t>1000 2905028003</t>
  </si>
  <si>
    <t>ICPayToAFLACIT</t>
  </si>
  <si>
    <t>1400 1301110001</t>
  </si>
  <si>
    <t>I_C-INC-AIT</t>
  </si>
  <si>
    <t>IC SETTLE 1000 INC TO 1400 AIT</t>
  </si>
  <si>
    <t>1400 2905010001</t>
  </si>
  <si>
    <t>1000 1301120004</t>
  </si>
  <si>
    <t>I/CAFLACIT</t>
  </si>
  <si>
    <t>I_C-AIT-INC</t>
  </si>
  <si>
    <t>IC SETTLE 1400 AIT TO 1000 INC</t>
  </si>
  <si>
    <t>1000 2905028006</t>
  </si>
  <si>
    <t>Interco Pay ABS</t>
  </si>
  <si>
    <t>1500 1301110001</t>
  </si>
  <si>
    <t>I_C-INC-ABA</t>
  </si>
  <si>
    <t>IC SETTLE 1000 INC TO 1500 ABA</t>
  </si>
  <si>
    <t>1500 2905010001</t>
  </si>
  <si>
    <t>1000 1301110004</t>
  </si>
  <si>
    <t>I/CoRecABS</t>
  </si>
  <si>
    <t>I_C-ABA-INC</t>
  </si>
  <si>
    <t>IC SETTLE 1500 ABA TO 1000 INC</t>
  </si>
  <si>
    <t>1000 2905022005</t>
  </si>
  <si>
    <t>ICPayToAflNY</t>
  </si>
  <si>
    <t>2200 1301110001</t>
  </si>
  <si>
    <t>I_C-INC-NY</t>
  </si>
  <si>
    <t>IC SETTLE 1000 INC TO 2200 NY</t>
  </si>
  <si>
    <t>2200 2905010001</t>
  </si>
  <si>
    <t>I_C-NY-INC</t>
  </si>
  <si>
    <t>IC SETTLE 2200 NY TO 1000 INC</t>
  </si>
  <si>
    <t>1000 1301080003</t>
  </si>
  <si>
    <t>I/CAflacNY</t>
  </si>
  <si>
    <t>1000 2905028014</t>
  </si>
  <si>
    <t>I/CPayNLAC/Aflac Col</t>
  </si>
  <si>
    <t>2400 1301110001</t>
  </si>
  <si>
    <t>I_C-INC-COL</t>
  </si>
  <si>
    <t>IC SETTLE 1000 INC TO 2400 COL</t>
  </si>
  <si>
    <t>2400 2905010001</t>
  </si>
  <si>
    <t>1000 1301080020</t>
  </si>
  <si>
    <t>I/CRec-NLAC/AflacCol</t>
  </si>
  <si>
    <t>I_C-COL-INC</t>
  </si>
  <si>
    <t>IC SETTLE 2400 COL TO 1000 INC</t>
  </si>
  <si>
    <t>1000 2905028001</t>
  </si>
  <si>
    <t>ICToAflGroup</t>
  </si>
  <si>
    <t>2500 1301110001</t>
  </si>
  <si>
    <t>I_C-INC-AGI</t>
  </si>
  <si>
    <t>IC SETTLE 1000 INC TO 2500 AGI</t>
  </si>
  <si>
    <t>2500 2905010001</t>
  </si>
  <si>
    <t>1000 1301080004</t>
  </si>
  <si>
    <t>I/CAflacGroup</t>
  </si>
  <si>
    <t>I_C-AGI-INC</t>
  </si>
  <si>
    <t>IC SETTLE 2500 AGI TO 1000 INC</t>
  </si>
  <si>
    <t>1000 2905028015</t>
  </si>
  <si>
    <t>I/CPay-TOIC</t>
  </si>
  <si>
    <t>2600 1301110001</t>
  </si>
  <si>
    <t>I_C-INC-TOIC</t>
  </si>
  <si>
    <t>IC SETTLE 1000 INC TO 2600 TOIC</t>
  </si>
  <si>
    <t>2600 2905010001</t>
  </si>
  <si>
    <t>1000 1301080021</t>
  </si>
  <si>
    <t>I/CRec-TOIC</t>
  </si>
  <si>
    <t>I_C-TOIC-INC</t>
  </si>
  <si>
    <t>IC SETTLE 2600 TOIC TO 1000 INC</t>
  </si>
  <si>
    <t>1100 2905028014</t>
  </si>
  <si>
    <t>2400 1301150001</t>
  </si>
  <si>
    <t>I_C-INTL-COL</t>
  </si>
  <si>
    <t>IC SETTLE 1100 INTL TO 2400 COL</t>
  </si>
  <si>
    <t>2400 2905024001</t>
  </si>
  <si>
    <t>1100 1301080100</t>
  </si>
  <si>
    <t>I/Cinc  (Budget)</t>
  </si>
  <si>
    <t>if activity is this account, accounting must be manually corrected as it will post to 1301080020</t>
  </si>
  <si>
    <t>No Entry</t>
  </si>
  <si>
    <t>1100 1301080020</t>
  </si>
  <si>
    <t>I_C-COL-INTL</t>
  </si>
  <si>
    <t>IC SETTLE 2400 COL TO 1100 INTL</t>
  </si>
  <si>
    <t>1200 2905028014</t>
  </si>
  <si>
    <t>2400 1301080022</t>
  </si>
  <si>
    <t>I_C-AAM-COL</t>
  </si>
  <si>
    <t>IC SETTLE 1200 AAM TO 2400 COL</t>
  </si>
  <si>
    <t>2400 2905028016</t>
  </si>
  <si>
    <t>1200 1301080020</t>
  </si>
  <si>
    <t>I_C-COL-AAM</t>
  </si>
  <si>
    <t>IC SETTLE 2400 COL TO 1200 AAM</t>
  </si>
  <si>
    <t>1400 2905028014</t>
  </si>
  <si>
    <t>2400 1301120004</t>
  </si>
  <si>
    <t>I_C-AIT-COL</t>
  </si>
  <si>
    <t>IC SETTLE 1400 AIT TO 2400 COL</t>
  </si>
  <si>
    <t>2400 2905028003</t>
  </si>
  <si>
    <t>ICPayToAITPay</t>
  </si>
  <si>
    <t>1400 1301080020</t>
  </si>
  <si>
    <t>I_C-COL-AIT</t>
  </si>
  <si>
    <t>IC SETTLE 2400 COL TO 1400 AIT</t>
  </si>
  <si>
    <t>1400 2905028001</t>
  </si>
  <si>
    <t>Interco Pay CAIC</t>
  </si>
  <si>
    <t>2500 1301120004</t>
  </si>
  <si>
    <t>I_C-AIT-AGI</t>
  </si>
  <si>
    <t>IC SETTLE 1400 AIT TO 2500 AGI</t>
  </si>
  <si>
    <t>2500 2905028003</t>
  </si>
  <si>
    <t>Interco Pay AFLAC IT</t>
  </si>
  <si>
    <t>1400 1301080004</t>
  </si>
  <si>
    <t>I_C-AGI-AIT</t>
  </si>
  <si>
    <t>IC SETTLE 2500 AGI TO 1400 AIT</t>
  </si>
  <si>
    <t>1500 2905022005</t>
  </si>
  <si>
    <t xml:space="preserve"> </t>
  </si>
  <si>
    <t>2200 1301110004</t>
  </si>
  <si>
    <t>I/CoRecABA</t>
  </si>
  <si>
    <t>I_C-ABA-NY</t>
  </si>
  <si>
    <t>IC SETTLE 1500 ABA TO 2200 NY</t>
  </si>
  <si>
    <t>2200 2905028006</t>
  </si>
  <si>
    <t>ICPayToAflacBenInc</t>
  </si>
  <si>
    <t>1500 1301080003</t>
  </si>
  <si>
    <t>IC Rec AflNY</t>
  </si>
  <si>
    <t>I_C-NY-ABA</t>
  </si>
  <si>
    <t>IC SETTLE 2200 NY TO 1500 ABA</t>
  </si>
  <si>
    <t>IntercoPay NY TMK</t>
  </si>
  <si>
    <t>IntercoRec ABA TMK</t>
  </si>
  <si>
    <t>I_C-ABA-NY-TMK</t>
  </si>
  <si>
    <t>IC SETTLE 1500 ABA TO 2200 NY TMK</t>
  </si>
  <si>
    <t>1500 2905028001</t>
  </si>
  <si>
    <t>2500 1301110004</t>
  </si>
  <si>
    <t>I_C-ABA-AGI</t>
  </si>
  <si>
    <t>IC SETTLE 1500 ABA TO 2500 AGI</t>
  </si>
  <si>
    <t>2500 2905028006</t>
  </si>
  <si>
    <t>1500 1301080004</t>
  </si>
  <si>
    <t>I_C-AGI-ABA</t>
  </si>
  <si>
    <t>IC SETTLE 2500 AGI TO 1500 ABA</t>
  </si>
  <si>
    <t>IntercoPay AGI TMK</t>
  </si>
  <si>
    <t>I_C-ABA-AGI-TMK</t>
  </si>
  <si>
    <t>IC SETTLE 1500 ABA TO 2500 AGI TMK</t>
  </si>
  <si>
    <t>2200 2905028016</t>
  </si>
  <si>
    <t>1200 1301080003</t>
  </si>
  <si>
    <t>I_C-NY-AAM</t>
  </si>
  <si>
    <t>IC SETTLE 2200 NY TO 1200 AAM</t>
  </si>
  <si>
    <t>2200 2905028014</t>
  </si>
  <si>
    <t>2400 1301080003</t>
  </si>
  <si>
    <t>I_C-NY-COL</t>
  </si>
  <si>
    <t>IC SETTLE 2200 NY TO 2400 COL</t>
  </si>
  <si>
    <t>2400 2905022005</t>
  </si>
  <si>
    <t>2200 1301080020</t>
  </si>
  <si>
    <t>I_C-COL-NY</t>
  </si>
  <si>
    <t>IC SETTLE 2400 COL TO 2200 NY</t>
  </si>
  <si>
    <t>2200 2905028001</t>
  </si>
  <si>
    <t>2500 1301080003</t>
  </si>
  <si>
    <t>I_C-NY-AGI</t>
  </si>
  <si>
    <t>IC SETTLE 2200 NY TO 2500 AGI</t>
  </si>
  <si>
    <t>2500 2905022005</t>
  </si>
  <si>
    <t>2200 1301080004</t>
  </si>
  <si>
    <t>I_C-AGI-NY</t>
  </si>
  <si>
    <t>IC SETTLE 2500 AGI TO 2200 NY</t>
  </si>
  <si>
    <t>2400 2905028001</t>
  </si>
  <si>
    <t>2500 1301080020</t>
  </si>
  <si>
    <t>I_C-COL-AGI</t>
  </si>
  <si>
    <t>IC SETTLE 2400 COL TO 2500 AGI</t>
  </si>
  <si>
    <t>2500 2905028014</t>
  </si>
  <si>
    <t>2400 1301080004</t>
  </si>
  <si>
    <t>I_C-AGI-COL</t>
  </si>
  <si>
    <t>IC SETTLE 2500 AGI TO 2400 COL</t>
  </si>
  <si>
    <t>2500 2905028016</t>
  </si>
  <si>
    <t>1200 1301080004</t>
  </si>
  <si>
    <t>I_C-AGI-AAM</t>
  </si>
  <si>
    <t>IC SETTLE 2500 AGI TO 1200 AAM</t>
  </si>
  <si>
    <t>1800 2905028014</t>
  </si>
  <si>
    <t>2400 1301080018</t>
  </si>
  <si>
    <t>I/CRec-AflacCorpVent</t>
  </si>
  <si>
    <t>I_C-AGV-COL</t>
  </si>
  <si>
    <t>IC SETTLE 1800 AGV TO 2400 COL</t>
  </si>
  <si>
    <t>1800 1301080020</t>
  </si>
  <si>
    <t>2400 2905028018</t>
  </si>
  <si>
    <t>I/CPay-AflaccorpVent</t>
  </si>
  <si>
    <t>I_C-COL-AGV</t>
  </si>
  <si>
    <t>IC SETTLE 2400 COL TO 1800 AGV</t>
  </si>
  <si>
    <t>I_C-INC-AGV</t>
  </si>
  <si>
    <t>IC SETTLE 1000 INC TO 1800 AGV</t>
  </si>
  <si>
    <t>I_C-AGV-INC</t>
  </si>
  <si>
    <t>IC SETTLE 1800 AGV TO 1000 INC</t>
  </si>
  <si>
    <t>2400 2905028006</t>
  </si>
  <si>
    <t>Interco Pay ABA</t>
  </si>
  <si>
    <t>1500 1301080020</t>
  </si>
  <si>
    <t>I/CAFLACCol</t>
  </si>
  <si>
    <t>I_C-COL-ABA</t>
  </si>
  <si>
    <t>IC SETTLE 2400 COL TO 1500 ABA</t>
  </si>
  <si>
    <t>1500 2905028014</t>
  </si>
  <si>
    <t>ICPayToAflacCol</t>
  </si>
  <si>
    <t>2400 1301110004</t>
  </si>
  <si>
    <t>Interco Rec ABA</t>
  </si>
  <si>
    <t>I_C-ABA-COL</t>
  </si>
  <si>
    <t>IC SETTLE 1500 ABA TO 2400 COL</t>
  </si>
  <si>
    <t>2400 2905028028</t>
  </si>
  <si>
    <t>Interco Pay Argus Dental &amp; Vision</t>
  </si>
  <si>
    <t>2810 1301080020</t>
  </si>
  <si>
    <t>I_C-COL-ABS</t>
  </si>
  <si>
    <t>IC SETTLE 2400 COL TO 2810 ABS</t>
  </si>
  <si>
    <t>2810 2905028014</t>
  </si>
  <si>
    <t>2400 1301080033</t>
  </si>
  <si>
    <t>Interco Rec. Argus Dental &amp; Vision</t>
  </si>
  <si>
    <t>I_C-ABS-COL</t>
  </si>
  <si>
    <t>IC SETTLE 2810 ABS TO 2400 COL</t>
  </si>
  <si>
    <t>2400 2905028015</t>
  </si>
  <si>
    <t>2600 1301080020</t>
  </si>
  <si>
    <t>I_C-COL-TOIC</t>
  </si>
  <si>
    <t>IC SETTLE 2400 COL TO 2600 TOIC</t>
  </si>
  <si>
    <t>2600 2905028014</t>
  </si>
  <si>
    <t>2400 1301080021</t>
  </si>
  <si>
    <t>I_C-TOIC-COL</t>
  </si>
  <si>
    <t>IC SETTLE 2600 TOIC TO 2400 COL</t>
  </si>
  <si>
    <t>1000 2905028025</t>
  </si>
  <si>
    <t>I/CPay-InfoSecSvcs</t>
  </si>
  <si>
    <t>1860 1301110001</t>
  </si>
  <si>
    <t>I_C-INC-AIS</t>
  </si>
  <si>
    <t>IC SETTLE 1000 INC TO 1860 AIS</t>
  </si>
  <si>
    <t>1860 2905010001</t>
  </si>
  <si>
    <t>1000 1301080030</t>
  </si>
  <si>
    <t>I/CRec-InfoSecSvcs</t>
  </si>
  <si>
    <t>I_C-AIS-INC</t>
  </si>
  <si>
    <t>IC SETTLE 1860 AIS TO 1000 INC</t>
  </si>
  <si>
    <t>1860 2905028018</t>
  </si>
  <si>
    <t>1800 1301080030</t>
  </si>
  <si>
    <t>I_C-AIS-AGV</t>
  </si>
  <si>
    <t>IC SETTLE 1860 AIS TO 1800 AGV</t>
  </si>
  <si>
    <t>1830 2905010001</t>
  </si>
  <si>
    <t>1000 1301080026</t>
  </si>
  <si>
    <t>I/CRec-AFLVentLab</t>
  </si>
  <si>
    <t>I_C-AVL-INC</t>
  </si>
  <si>
    <t>IC SETTLE 1830 AVL TO 1000 INC</t>
  </si>
  <si>
    <t>1840 2905010001</t>
  </si>
  <si>
    <t>1000 1301080029</t>
  </si>
  <si>
    <t>I/CRec-Empower.Insur</t>
  </si>
  <si>
    <t>I_C-EI-INC</t>
  </si>
  <si>
    <t>IC SETTLE 1840 EI TO 1000 INC</t>
  </si>
  <si>
    <t>2400 2905028025</t>
  </si>
  <si>
    <t>1860 1301080020</t>
  </si>
  <si>
    <t>I/CRec-AflacUS/Col</t>
  </si>
  <si>
    <t>I_C-COL-AIS</t>
  </si>
  <si>
    <t>IC SETTLE 2400 COL TO 1860 AIS</t>
  </si>
  <si>
    <t>1860 2905028014</t>
  </si>
  <si>
    <t>2400 1301080030</t>
  </si>
  <si>
    <t>I_C-AIS-COL</t>
  </si>
  <si>
    <t>IC SETTLE 1860 AIS TO 2400 COL</t>
  </si>
  <si>
    <t>1000 2905028028</t>
  </si>
  <si>
    <t>2810 1301110001</t>
  </si>
  <si>
    <t>I_C-INC-ABS</t>
  </si>
  <si>
    <t>IC SETTLE 1000 INC TO 2810 ABS</t>
  </si>
  <si>
    <t>2810 2905010001</t>
  </si>
  <si>
    <t>1000 1301080033</t>
  </si>
  <si>
    <t>I_C-ABS-INC</t>
  </si>
  <si>
    <t>IC SETTLE 2810 ABS TO 1000 INC</t>
  </si>
  <si>
    <t>2200 2905028015</t>
  </si>
  <si>
    <t>Interco Pay NY</t>
  </si>
  <si>
    <t>2600 1301080003</t>
  </si>
  <si>
    <t>I_C-NY-TOIC</t>
  </si>
  <si>
    <t>IC SETTLE 2200 NY TO 2600 TOIC</t>
  </si>
  <si>
    <t>2600 2905022005</t>
  </si>
  <si>
    <t>2200 1301080021</t>
  </si>
  <si>
    <t>I_C-TOIC-NY</t>
  </si>
  <si>
    <t>IC SETTLE 2600 TOIC TO 2200 NY</t>
  </si>
  <si>
    <t>1860 1301080004</t>
  </si>
  <si>
    <t>2500 2905028025</t>
  </si>
  <si>
    <t>I_C-AGI-AIS</t>
  </si>
  <si>
    <t>IC SETTLE 2500 AGI TO 1860 AIS</t>
  </si>
  <si>
    <t>2500 1301080030</t>
  </si>
  <si>
    <t>1860 2905028001</t>
  </si>
  <si>
    <t>I_C-AIS-AGI</t>
  </si>
  <si>
    <t>IC SETTLE 1860 AIS TO 2500 AGI</t>
  </si>
  <si>
    <t>1000 1301080041</t>
  </si>
  <si>
    <t>IntercoRec AflacReBe</t>
  </si>
  <si>
    <t>2900 2905010001</t>
  </si>
  <si>
    <t>I_C-ARB-INC</t>
  </si>
  <si>
    <t>IC SETTLE 2900 ARB TO 1000 INC</t>
  </si>
  <si>
    <t>2900 1301110001</t>
  </si>
  <si>
    <t>1000 2905028036</t>
  </si>
  <si>
    <t>IntercoPay AflacReBe</t>
  </si>
  <si>
    <t>I_C-INC-ARB</t>
  </si>
  <si>
    <t>IC SETTLE 1000 INC TO 2900 ARB</t>
  </si>
  <si>
    <t>1000 1301080037</t>
  </si>
  <si>
    <t>IntercoReceivable Aflac Ventures India Fund LLC</t>
  </si>
  <si>
    <t>1825 2905010001</t>
  </si>
  <si>
    <t>I_C-AVIF-INC</t>
  </si>
  <si>
    <t>IC SETTLE 1825 AVIF TO 1000 INC</t>
  </si>
  <si>
    <t>1825 1301110001</t>
  </si>
  <si>
    <t>1000 2905028032</t>
  </si>
  <si>
    <t>IntercoPayables Aflac Ventures India Fund LLC</t>
  </si>
  <si>
    <t>I_C-INC-AVIF</t>
  </si>
  <si>
    <t>IC SETTLE 1000 INC TO 1825 AVIF</t>
  </si>
  <si>
    <t>1000 1301080040</t>
  </si>
  <si>
    <t>IntercoRec CAICPFML</t>
  </si>
  <si>
    <t>2560 2905010001</t>
  </si>
  <si>
    <t>I_C-PFML-INC</t>
  </si>
  <si>
    <t>IC SETTLE 2560 PFML TO 1000 INC</t>
  </si>
  <si>
    <t>2560 1301110001</t>
  </si>
  <si>
    <t>1000 2905028035</t>
  </si>
  <si>
    <t>IntercompanyPayables ToCAICPFML</t>
  </si>
  <si>
    <t>I_C-INC-PFML</t>
  </si>
  <si>
    <t>IC SETTLE 1000 INC TO 2560 PFML</t>
  </si>
  <si>
    <t>2400 1301080040</t>
  </si>
  <si>
    <t>2560 2905028014</t>
  </si>
  <si>
    <t>I_C-PFML-COL</t>
  </si>
  <si>
    <t>IC SETTLE 2560 PFML TO 2400 COL</t>
  </si>
  <si>
    <t>2560 1301080020</t>
  </si>
  <si>
    <t>2400 2905028035</t>
  </si>
  <si>
    <t>I_C-COL-PFML</t>
  </si>
  <si>
    <t>IC SETTLE 2400 COL TO 2560 PFML</t>
  </si>
  <si>
    <t>2400 1301080026</t>
  </si>
  <si>
    <t>IntercoReceivable Aflac Ventures Lab</t>
  </si>
  <si>
    <t>1830 2905028014</t>
  </si>
  <si>
    <t>I_C-AVL-COL</t>
  </si>
  <si>
    <t>IC SETTLE 1830 AVL TO 2400 COL</t>
  </si>
  <si>
    <t>1830 1301080020</t>
  </si>
  <si>
    <t>2400 2905028021</t>
  </si>
  <si>
    <t>IntercoPayablesAflac Ventures Lab</t>
  </si>
  <si>
    <t>I_C-COL-AVL</t>
  </si>
  <si>
    <t>IC SETTLE 2400 COL TO 1830 AVL</t>
  </si>
  <si>
    <t>2400 1301080029</t>
  </si>
  <si>
    <t>IntercoReceivable Empowered.Insure LLC</t>
  </si>
  <si>
    <t>1840 2905028014</t>
  </si>
  <si>
    <t>I_C-EI-COL</t>
  </si>
  <si>
    <t>IC SETTLE 1840 EI TO 2400 COL</t>
  </si>
  <si>
    <t>1840 1301080020</t>
  </si>
  <si>
    <t>2400 2905028024</t>
  </si>
  <si>
    <t>IntercoPayables Empowered.Insure LLC</t>
  </si>
  <si>
    <t>I_C-COL-EI</t>
  </si>
  <si>
    <t>IC SETTLE 2400 COL TO 1840 EI</t>
  </si>
  <si>
    <t>1200 2905028036</t>
  </si>
  <si>
    <t>2900 1301080022</t>
  </si>
  <si>
    <t>I_C-AAM-ARB</t>
  </si>
  <si>
    <t>IC SETTLE 1200 AAM TO 2900 ARB</t>
  </si>
  <si>
    <t>2900 2905028016</t>
  </si>
  <si>
    <t>1200 1301080041</t>
  </si>
  <si>
    <t>I_C-ARB-AAM</t>
  </si>
  <si>
    <t>IC SETTLE 2900 ARB TO 1200 AAM</t>
  </si>
  <si>
    <t>1200 2905028015</t>
  </si>
  <si>
    <t>IntercoPayables TOIC</t>
  </si>
  <si>
    <t>2600 1301080022</t>
  </si>
  <si>
    <t>I_C-AAM-TOIC</t>
  </si>
  <si>
    <t>IC SETTLE 1200 AAM TO 2600 TOIC</t>
  </si>
  <si>
    <t>2600 2905028016</t>
  </si>
  <si>
    <t>1200 1301080021</t>
  </si>
  <si>
    <t>IntercoReceivable TOIC</t>
  </si>
  <si>
    <t>I_C-TOIC-AAM</t>
  </si>
  <si>
    <t>IC SETTLE 2600 TOIC TO 1200 AAM</t>
  </si>
  <si>
    <t>2200 2905028028</t>
  </si>
  <si>
    <t>2810 1301080003</t>
  </si>
  <si>
    <t>I_C-NY-ABS</t>
  </si>
  <si>
    <t>IC SETTLE 2200 NY TO 2810 ABS</t>
  </si>
  <si>
    <t>2810 2905022005</t>
  </si>
  <si>
    <t>2200 1301080033</t>
  </si>
  <si>
    <t>I_C-ABS-NY</t>
  </si>
  <si>
    <t>IC SETTLE 2810 ABS TO 2200 NY</t>
  </si>
  <si>
    <t>2600 2905028028</t>
  </si>
  <si>
    <t>2810 1301080021</t>
  </si>
  <si>
    <t>I_C-TOIC-ABS</t>
  </si>
  <si>
    <t>IC SETTLE 2600 TOIC TO 2810 ABS</t>
  </si>
  <si>
    <t>2810 2905028015</t>
  </si>
  <si>
    <t>2600 1301080033</t>
  </si>
  <si>
    <t>I_C-ABS-TOIC</t>
  </si>
  <si>
    <t>IC SETTLE 2810 ABS TO 2600 TOIC</t>
  </si>
  <si>
    <t>2400 1301080037</t>
  </si>
  <si>
    <t>1825 2905028014</t>
  </si>
  <si>
    <t>I_C-AVIF-COL</t>
  </si>
  <si>
    <t>IC SETTLE 1825 AVIF TO 2400 COL</t>
  </si>
  <si>
    <t>1825 1301080020</t>
  </si>
  <si>
    <t>2400 2905028032</t>
  </si>
  <si>
    <t>I_C-COL-AVIF</t>
  </si>
  <si>
    <t>IC SETTLE 2400 COL TO 1825 AVIF</t>
  </si>
  <si>
    <t>2500 1301080021</t>
  </si>
  <si>
    <t>2600 2905028001</t>
  </si>
  <si>
    <t>I_C-TOIC-AGI</t>
  </si>
  <si>
    <t>IC SETTLE 2600 TOIC TO 2500 AGI</t>
  </si>
  <si>
    <t>2600 1301080004</t>
  </si>
  <si>
    <t>2500 2905028015</t>
  </si>
  <si>
    <t>I_C-AGI-TOIC</t>
  </si>
  <si>
    <t>IC SETTLE 2500 AGI TO 2600 TOIC</t>
  </si>
  <si>
    <t>1000 1301120001</t>
  </si>
  <si>
    <t>IntercoReceivable Ccorp</t>
  </si>
  <si>
    <t>1600 2905010001</t>
  </si>
  <si>
    <t>I_C-CCORP-INC</t>
  </si>
  <si>
    <t>IC SETTLE 1600 CCORP TO 1000 INC</t>
  </si>
  <si>
    <t>1600 1301110001</t>
  </si>
  <si>
    <t>1000 2905028002</t>
  </si>
  <si>
    <t>ICPayToCCorp</t>
  </si>
  <si>
    <t>I_C-INC-CCORP</t>
  </si>
  <si>
    <t>IC SETTLE 1000 INC TO 1600 CCORP</t>
  </si>
  <si>
    <t>1810 2905028018</t>
  </si>
  <si>
    <t>ICPayToAflacCorpVentures</t>
  </si>
  <si>
    <t>1800 1301080019</t>
  </si>
  <si>
    <t>I/CRec-AflacVentures</t>
  </si>
  <si>
    <t>I_C-AV-AGV</t>
  </si>
  <si>
    <t>IC SETTLE 1810 AV TO 1800 AGV</t>
  </si>
  <si>
    <t>1800 2905028013</t>
  </si>
  <si>
    <t>ICPayToAflacVentures</t>
  </si>
  <si>
    <t>1810 1301080018</t>
  </si>
  <si>
    <t>I/CRec-AflacCorpVentures</t>
  </si>
  <si>
    <t>I_C-AGV-AV</t>
  </si>
  <si>
    <t>IC SETTLE 1800 AGV TO 1810 AV</t>
  </si>
  <si>
    <t>1000 2905028013</t>
  </si>
  <si>
    <t>I/CPay-AflacVentures</t>
  </si>
  <si>
    <t>1810 1301110001</t>
  </si>
  <si>
    <t>I/C RecAflac Inc</t>
  </si>
  <si>
    <t>I_C-INC-AV</t>
  </si>
  <si>
    <t>IC SETTLE 1000 INC TO 1810 AV</t>
  </si>
  <si>
    <t>1810 2905010001</t>
  </si>
  <si>
    <t>1000 1301080019</t>
  </si>
  <si>
    <t>I_C-AV-INC</t>
  </si>
  <si>
    <t>IC SETTLE 1810 AV TO 1000 INC</t>
  </si>
  <si>
    <t>1000 1301080025</t>
  </si>
  <si>
    <t>I/CRec-AFLVentSeedFd</t>
  </si>
  <si>
    <t>1820 2905010001</t>
  </si>
  <si>
    <t>I_C-AVS-INC</t>
  </si>
  <si>
    <t>IC SETTLE 1820 AVS TO 1000 INC</t>
  </si>
  <si>
    <t>1820 1301110001</t>
  </si>
  <si>
    <t>1000 2905028020</t>
  </si>
  <si>
    <t>IntercoPayablesAflac Ventures Seed Fund</t>
  </si>
  <si>
    <t>I_C-INC-AVS</t>
  </si>
  <si>
    <t>IC SETTLE 1000 INC TO 1820 AVS</t>
  </si>
  <si>
    <t>2400 1301080019</t>
  </si>
  <si>
    <t>IntercoReceivable Aflac Ventures</t>
  </si>
  <si>
    <t>1810 2905028014</t>
  </si>
  <si>
    <t>I_C-AV-COL</t>
  </si>
  <si>
    <t>IC SETTLE 1810 AV TO 2400 COL</t>
  </si>
  <si>
    <t>1810 1301080020</t>
  </si>
  <si>
    <t>2400 2905028013</t>
  </si>
  <si>
    <t>IntercoPayables Aflac Ventures</t>
  </si>
  <si>
    <t>I_C-COL-AV</t>
  </si>
  <si>
    <t>IC SETTLE 2400 COL TO 1810 AV</t>
  </si>
  <si>
    <t>2400 1301080025</t>
  </si>
  <si>
    <t>1820 2905028014</t>
  </si>
  <si>
    <t>I_C-AVS-COL</t>
  </si>
  <si>
    <t>IC SETTLE 1820 AVS TO 2400 COL</t>
  </si>
  <si>
    <t>1820 1301080020</t>
  </si>
  <si>
    <t>2400 2905028020</t>
  </si>
  <si>
    <t>I_C-COL-AVS</t>
  </si>
  <si>
    <t>IC SETTLE 2400 COL TO 1820 AVS</t>
  </si>
  <si>
    <t>2200 1301180005</t>
  </si>
  <si>
    <t>Intercompany Receivable - ZALICO</t>
  </si>
  <si>
    <t>9900 2905022005</t>
  </si>
  <si>
    <t>Intercompany Payable - Aflac NY</t>
  </si>
  <si>
    <t>I_C-ZCO-NY</t>
  </si>
  <si>
    <t>IC SETTLE 9900 ZCO TO 2200 NY</t>
  </si>
  <si>
    <t>9900 1301080003</t>
  </si>
  <si>
    <t>Intercompany Receivable - Aflac NY</t>
  </si>
  <si>
    <t>2200 2905036005</t>
  </si>
  <si>
    <t xml:space="preserve"> Intercompany Payable - ZALICO</t>
  </si>
  <si>
    <t>I_C-NY-ZCO</t>
  </si>
  <si>
    <t>IC SETTLE 2200 NY TO 9900 ZCO</t>
  </si>
  <si>
    <t>2200 1301180004</t>
  </si>
  <si>
    <t>Intercompany Receivable - ZALICONY</t>
  </si>
  <si>
    <t>9901 2905022005</t>
  </si>
  <si>
    <t>I_C-ZCONY-NY</t>
  </si>
  <si>
    <t>IC SETTLE 9901 ZCONY TO 2200 NY</t>
  </si>
  <si>
    <t>9901 1301080003</t>
  </si>
  <si>
    <t>2200 2905036004</t>
  </si>
  <si>
    <t>Intercompany Payable - ZALICONY</t>
  </si>
  <si>
    <t>I_C-NY-ZCONY</t>
  </si>
  <si>
    <t>IC SETTLE 2200 NY TO 9901 ZCONY</t>
  </si>
  <si>
    <t>2400 1301180005</t>
  </si>
  <si>
    <t>9900 2905028014</t>
  </si>
  <si>
    <t>Intercompany Payable - Aflac Columbus</t>
  </si>
  <si>
    <t>I_C-ZCO-COL</t>
  </si>
  <si>
    <t>IC SETTLE 9900 ZCO TO 2400 COL</t>
  </si>
  <si>
    <t>9900 1301080020</t>
  </si>
  <si>
    <t>Intercompany Receivable - Aflac Columbus</t>
  </si>
  <si>
    <t>2400 2905036005</t>
  </si>
  <si>
    <t>Intercompany Payable - ZALICO</t>
  </si>
  <si>
    <t>I_C-COL-ZCO</t>
  </si>
  <si>
    <t>IC SETTLE 2400 COL TO 9900 ZCO</t>
  </si>
  <si>
    <t>2500 1301180005</t>
  </si>
  <si>
    <t>9900 2905028001</t>
  </si>
  <si>
    <t>Intercompany Payable - Aflac Group (CAIC)</t>
  </si>
  <si>
    <t>I_C-ZCO-AGI</t>
  </si>
  <si>
    <t>IC SETTLE 9900 ZCO TO 2500 AGI</t>
  </si>
  <si>
    <t>9900 1301080004</t>
  </si>
  <si>
    <t>Intercompany Receivable - Aflac Group (CAIC)</t>
  </si>
  <si>
    <t>2500 2905036005</t>
  </si>
  <si>
    <t>I_C-AGI-ZCO</t>
  </si>
  <si>
    <t>IC SETTLE 2500 AGI TO 9900 ZCO</t>
  </si>
  <si>
    <t>2500 1301180004</t>
  </si>
  <si>
    <t>9901 2905028001</t>
  </si>
  <si>
    <t>I_C-ZCONY-AGI</t>
  </si>
  <si>
    <t>IC SETTLE 9901 ZCONY TO 2500 AGI</t>
  </si>
  <si>
    <t>9901 1301080004</t>
  </si>
  <si>
    <t>2500 2905036004</t>
  </si>
  <si>
    <t>I_C-AGI-ZCONY</t>
  </si>
  <si>
    <t>IC SETTLE 2500 AGI TO 9901 ZCONY</t>
  </si>
  <si>
    <t>2400 1301180004</t>
  </si>
  <si>
    <t>9901 2905028014</t>
  </si>
  <si>
    <t xml:space="preserve"> Intercompany Payable - Aflac Columbus</t>
  </si>
  <si>
    <t>I_C-ZCONY-COL</t>
  </si>
  <si>
    <t>IC SETTLE 9901 ZCONY TO 2400 COL</t>
  </si>
  <si>
    <t>9901 1301080020</t>
  </si>
  <si>
    <t>2400 2905036004</t>
  </si>
  <si>
    <t>I_C-COL-ZCONY</t>
  </si>
  <si>
    <t>IC SETTLE 2400 COL TO 9901 ZCONY</t>
  </si>
  <si>
    <t>9900 1301180004</t>
  </si>
  <si>
    <t>9901 2905036005</t>
  </si>
  <si>
    <t>I_C-ZCONY-ZCO</t>
  </si>
  <si>
    <t>IC SETTLE 9901 ZCONY TO 9900 ZCO</t>
  </si>
  <si>
    <t>9901 1301180005</t>
  </si>
  <si>
    <t>9900 2905036004</t>
  </si>
  <si>
    <t>I_C-ZCO-ZCONY</t>
  </si>
  <si>
    <t>IC SETTLE 9900 ZCO TO 9901 ZCONY</t>
  </si>
  <si>
    <t>9900 1301080040</t>
  </si>
  <si>
    <t>Intercompany Receivable - CAIC PFML</t>
  </si>
  <si>
    <t>2560 2905036005</t>
  </si>
  <si>
    <t>I_C-CAICPFML-ZCO</t>
  </si>
  <si>
    <t>IC SETTLE 2560 CAICPFML TO 9900 ZCO</t>
  </si>
  <si>
    <t>2560 1301180005</t>
  </si>
  <si>
    <t>9900 2905028035</t>
  </si>
  <si>
    <t>Intercompany Payable - CAIC PFML</t>
  </si>
  <si>
    <t>I_C-ZCO-CAICPFML</t>
  </si>
  <si>
    <t>IC SETTLE 9900 ZCO TO 2560 CAICPFML</t>
  </si>
  <si>
    <t>Total Debits and Credits should balance to Zero</t>
  </si>
  <si>
    <t>Settlement Count (Non-Zero)</t>
  </si>
  <si>
    <t>Settlement Amount</t>
  </si>
  <si>
    <t>File name must remain I-C Settlement Template.xlsm as this is hard coded in the macro.</t>
  </si>
  <si>
    <t>Log into SAP</t>
  </si>
  <si>
    <t>Go to transaction S_ALR_87012300</t>
  </si>
  <si>
    <t>Get Variant "I-C SETTLEMENT"</t>
  </si>
  <si>
    <t>The variant has a range for G/L payable accounts and a range for GL receivable accounts.</t>
  </si>
  <si>
    <t>For any new G/L intercompany accounts, make sure they are included in the variant ranges.</t>
  </si>
  <si>
    <t>Update "Reporting Period" to desired month</t>
  </si>
  <si>
    <t>Execute</t>
  </si>
  <si>
    <t>Download file:</t>
  </si>
  <si>
    <t>Choose System, List, Save, Local File</t>
  </si>
  <si>
    <t>In which format should the list be saved?  Click "Text with Tabs" radio button</t>
  </si>
  <si>
    <t>Check Mark</t>
  </si>
  <si>
    <t>Directory:  g:\group\cash\I-C Settlement</t>
  </si>
  <si>
    <t>File Name:  SAP S_ALR_87012300.xls</t>
  </si>
  <si>
    <t>Click Replace</t>
  </si>
  <si>
    <t>Always use the directory and file name above as this is hard coded into the macro.</t>
  </si>
  <si>
    <t>Press SAP Download macro button</t>
  </si>
  <si>
    <t>This will populate the SAP tab.</t>
  </si>
  <si>
    <t>The ZTRF, RECON, and DataEntry tabs are all populated through vlookups from the SAP tab.</t>
  </si>
  <si>
    <t>On the RECON tab, make sure each Payable and Receivable account for the appropriate companies net to zero. (col G)</t>
  </si>
  <si>
    <t>On the RECON tab, make sure each Payable balance is a credit  and Receivable balance is a debit  (col H).</t>
  </si>
  <si>
    <t>On the RECON tab, make sure the total equals the Debit or Credit totals from the SAP tab.</t>
  </si>
  <si>
    <t>On the ZTRF tab, make sure total transfers from in column E matches total transfers to in column P</t>
  </si>
  <si>
    <t>If any of the above are out of balance, research and make necessary corrections.</t>
  </si>
  <si>
    <t>Press the Save Monthly Settlement macro button.</t>
  </si>
  <si>
    <t>A popup box will appear asking for "Month being settled."</t>
  </si>
  <si>
    <t>After you enter that information, the file will be saved in the current directory as I-C Settlement MM-YYYY.xlsm.</t>
  </si>
  <si>
    <t>Have Angie Grier approve the monthly file</t>
  </si>
  <si>
    <t>Enter the ACH transfers in ZTRF_Settle and save the transfers.</t>
  </si>
  <si>
    <t>This must be done no later than two business days before calendar month-end.</t>
  </si>
  <si>
    <t>*There will be one transfer for settlements from BB&amp;T and one transfer for settlements from JPMC</t>
  </si>
  <si>
    <t>If not, the ACH file will not clear within the current month.</t>
  </si>
  <si>
    <t>Input the transfer # on the ZTRF &amp; 2500 settlmnt tabs.</t>
  </si>
  <si>
    <t>Email the appropriate AP person to post the accounting and create the ACH file.</t>
  </si>
  <si>
    <t>AP will post both transfers to create the Z1 accounting docs.</t>
  </si>
  <si>
    <t>AP will print the the list of Z1 docs or screen print the list and put in the Z1 docs tab.</t>
  </si>
  <si>
    <t>AP will create separate  ACH files in ZTRF_settle: one for BB&amp;t and one for JPMC.</t>
  </si>
  <si>
    <t>AP will receive the barcodes for the Z1 docs so they can image the journal entries with the backup.</t>
  </si>
  <si>
    <t>Be sure to include Angie's approval in the backup.</t>
  </si>
  <si>
    <t>Email ACH totals to financialcontrol@aflac.com, financialcashmanagement@aflac.com, lfinan@aflac.com, lberry@aflac.com, dharris6@aflac.com, emitchell@aflac.com</t>
  </si>
  <si>
    <t>This will print the SAP, RECON and ZTRF tabs.</t>
  </si>
  <si>
    <t>If new companies or intercompany accounts are added, you must submit an SCR to have the table</t>
  </si>
  <si>
    <t>ZTFI_PARAM_TABL updated for the new accounts so the appropriate accounting will post.</t>
  </si>
  <si>
    <t>1. Receive file from Financial Reporting after they have filled the "SAP" tab.</t>
  </si>
  <si>
    <t>2. Verify all tabs are showing the same amount of non-zero settlements and grand total amount.</t>
  </si>
  <si>
    <t>3. Export "Kyriba PET Upload" tab as a .csv file</t>
  </si>
  <si>
    <t>4. Use the .csv file as your bulk upload in Kyriba for all settlements. (Create Treasury Payment via Bulk P.E.T. Import)</t>
  </si>
  <si>
    <t>5. Verify what was uploaded to Kyriba also matches the count and grand total amount.</t>
  </si>
  <si>
    <t xml:space="preserve">6. Export the "Treasury Payments &amp; Accounting" tab as a .pdf to use as your backup to attach to all settlement payments that generate. Be sure to edit the value date to the current day and month. </t>
  </si>
  <si>
    <t>7. Attach the .pdf to all payments in Kyriba.</t>
  </si>
  <si>
    <t>8.Treasury Management approves Kyriba payments.</t>
  </si>
  <si>
    <t>Aflac Incorporated             G/L Account Balances             Date  10/24/2026</t>
  </si>
  <si>
    <t>Columbus            Ledger Z4                                   Page           1</t>
  </si>
  <si>
    <t xml:space="preserve">                  Per month October 2026 in company code 1000</t>
  </si>
  <si>
    <t>CoCd</t>
  </si>
  <si>
    <t>G/L Acct</t>
  </si>
  <si>
    <t>Short Text</t>
  </si>
  <si>
    <t xml:space="preserve">   Debit Balance</t>
  </si>
  <si>
    <t xml:space="preserve">  Credit Balance</t>
  </si>
  <si>
    <t>Net Balance</t>
  </si>
  <si>
    <t>1000 1301113100</t>
  </si>
  <si>
    <t>I/C Aflac Japan</t>
  </si>
  <si>
    <t>I/C Rec Ccorp</t>
  </si>
  <si>
    <t>1000 1301080001</t>
  </si>
  <si>
    <t>1000 1301150002</t>
  </si>
  <si>
    <t>I/CAflacInt'lJapan</t>
  </si>
  <si>
    <t>1000 1301100001</t>
  </si>
  <si>
    <t>I/CAFLACJapan</t>
  </si>
  <si>
    <t>1000 1301080039</t>
  </si>
  <si>
    <t>I/CAFLGIHldgLLC</t>
  </si>
  <si>
    <t>I/CCAICPFML</t>
  </si>
  <si>
    <t>1000 1301180002</t>
  </si>
  <si>
    <t>I/CColRetro(2450)</t>
  </si>
  <si>
    <t>1000 2905028018</t>
  </si>
  <si>
    <t>1000 2905028021</t>
  </si>
  <si>
    <t>I/Cpay-AFLVentLab</t>
  </si>
  <si>
    <t>I/CPay-AFLVentSeedFd</t>
  </si>
  <si>
    <t>I/CPay-ArgusDen&amp;Vis</t>
  </si>
  <si>
    <t>1000 2905028024</t>
  </si>
  <si>
    <t>I/Cpay-Empower.Insur</t>
  </si>
  <si>
    <t>1000 2905028029</t>
  </si>
  <si>
    <t>I/CPay-Simple Tech</t>
  </si>
  <si>
    <t>1000 1301080018</t>
  </si>
  <si>
    <t>I/CRec-ArgusDen&amp;Vis</t>
  </si>
  <si>
    <t>I/CRec-AVIF</t>
  </si>
  <si>
    <t>1000 1301080034</t>
  </si>
  <si>
    <t>I/CRec-Simple Tech</t>
  </si>
  <si>
    <t>1000 1301080023</t>
  </si>
  <si>
    <t>I/CRecAHLLC</t>
  </si>
  <si>
    <t>1000 1301080017</t>
  </si>
  <si>
    <t>I/CRecEB(1510)</t>
  </si>
  <si>
    <t>1000 2905028008</t>
  </si>
  <si>
    <t>ICPayCcorpOrders</t>
  </si>
  <si>
    <t>1000 2905033100</t>
  </si>
  <si>
    <t>ICPayTo Aflac Japan</t>
  </si>
  <si>
    <t>1000 2905021011</t>
  </si>
  <si>
    <t>ICPayToAflColAllcExp</t>
  </si>
  <si>
    <t>1000 2905028034</t>
  </si>
  <si>
    <t>ICPayToAflGIHldgLLC</t>
  </si>
  <si>
    <t>1000 2905031001</t>
  </si>
  <si>
    <t>ICPayToAflJap</t>
  </si>
  <si>
    <t>1000 2905028010</t>
  </si>
  <si>
    <t>ICPayToAGI(2550)</t>
  </si>
  <si>
    <t>ICPayToCAICPFML</t>
  </si>
  <si>
    <t>1000 2905036002</t>
  </si>
  <si>
    <t>ICPayToColRtr(2450)</t>
  </si>
  <si>
    <t>1000 1301080027</t>
  </si>
  <si>
    <t>Interco Rec NIO</t>
  </si>
  <si>
    <t>1012 1301110001</t>
  </si>
  <si>
    <t>1012 2905028016</t>
  </si>
  <si>
    <t>1012 2905010001</t>
  </si>
  <si>
    <t>1100 1301113100</t>
  </si>
  <si>
    <t>1100 1301150002</t>
  </si>
  <si>
    <t>1100 1301100001</t>
  </si>
  <si>
    <t>1100 1301150005</t>
  </si>
  <si>
    <t>I/CAIJBPerm</t>
  </si>
  <si>
    <t>1100 1301120003</t>
  </si>
  <si>
    <t>I/CDuckGearOrders</t>
  </si>
  <si>
    <t>1100 2905028016</t>
  </si>
  <si>
    <t>1100 1301080022</t>
  </si>
  <si>
    <t>1100 1301080023</t>
  </si>
  <si>
    <t>1100 2905028008</t>
  </si>
  <si>
    <t>1120 1301113100</t>
  </si>
  <si>
    <t>1120 1301150002</t>
  </si>
  <si>
    <t>1120 1301100001</t>
  </si>
  <si>
    <t>1120 1301140001</t>
  </si>
  <si>
    <t>I/CAPS</t>
  </si>
  <si>
    <t>1120 2905033100</t>
  </si>
  <si>
    <t>1120 2905031001</t>
  </si>
  <si>
    <t>1130 1301113100</t>
  </si>
  <si>
    <t>1130 1301130003</t>
  </si>
  <si>
    <t>I/C LT Loan</t>
  </si>
  <si>
    <t>1130 1301150002</t>
  </si>
  <si>
    <t>1130 1301100001</t>
  </si>
  <si>
    <t>1130 1301160001</t>
  </si>
  <si>
    <t>I/CAflacTechS</t>
  </si>
  <si>
    <t>1130 1301170001</t>
  </si>
  <si>
    <t>I/CAHS</t>
  </si>
  <si>
    <t>1130 1301130001</t>
  </si>
  <si>
    <t>I/CAIS</t>
  </si>
  <si>
    <t>1130 2905033140</t>
  </si>
  <si>
    <t>I/CPayASI</t>
  </si>
  <si>
    <t>1130 1301113140</t>
  </si>
  <si>
    <t>I/CRecASI</t>
  </si>
  <si>
    <t>1130 2905033100</t>
  </si>
  <si>
    <t>1130 2905031001</t>
  </si>
  <si>
    <t>1150 1301113100</t>
  </si>
  <si>
    <t>1150 1301150001</t>
  </si>
  <si>
    <t>1150 1301100001</t>
  </si>
  <si>
    <t>1150 1301160001</t>
  </si>
  <si>
    <t>1150 1301170001</t>
  </si>
  <si>
    <t>1150 1301130001</t>
  </si>
  <si>
    <t>1150 1301140001</t>
  </si>
  <si>
    <t>1150 1301110001</t>
  </si>
  <si>
    <t>1150 1301160002</t>
  </si>
  <si>
    <t>I/CLoanATS</t>
  </si>
  <si>
    <t>1150 1301080023</t>
  </si>
  <si>
    <t>1150 2905033100</t>
  </si>
  <si>
    <t>1150 2905024001</t>
  </si>
  <si>
    <t>1150 2905031001</t>
  </si>
  <si>
    <t>1150 2905032001</t>
  </si>
  <si>
    <t>ICPayToAIS</t>
  </si>
  <si>
    <t>1150 2905033001</t>
  </si>
  <si>
    <t>ICPayToAPS</t>
  </si>
  <si>
    <t>1190 1301113100</t>
  </si>
  <si>
    <t>1190 2905031001</t>
  </si>
  <si>
    <t>1200 1301111250</t>
  </si>
  <si>
    <t>I/C Rec AAMJLTD</t>
  </si>
  <si>
    <t>1200 1301150001</t>
  </si>
  <si>
    <t>1200 1301080039</t>
  </si>
  <si>
    <t>1200 2905028008</t>
  </si>
  <si>
    <t>1200 2905024001</t>
  </si>
  <si>
    <t>1200 2905022005</t>
  </si>
  <si>
    <t>1200 2905028001</t>
  </si>
  <si>
    <t>1250 1301113100</t>
  </si>
  <si>
    <t>1250 1301100001</t>
  </si>
  <si>
    <t>1250 2905028016</t>
  </si>
  <si>
    <t>1250 2905010001</t>
  </si>
  <si>
    <t>1300 1301110001</t>
  </si>
  <si>
    <t>1300 2905028014</t>
  </si>
  <si>
    <t>1300 1301080020</t>
  </si>
  <si>
    <t>1300 2905021008</t>
  </si>
  <si>
    <t>1300 2905010001</t>
  </si>
  <si>
    <t>1300 2905028001</t>
  </si>
  <si>
    <t>1400 2905028029</t>
  </si>
  <si>
    <t>1400 1301080034</t>
  </si>
  <si>
    <t>1410 1301120004</t>
  </si>
  <si>
    <t>1410 1301110001</t>
  </si>
  <si>
    <t>1410 2905010001</t>
  </si>
  <si>
    <t>1410 2905028003</t>
  </si>
  <si>
    <t>1500 2905028009</t>
  </si>
  <si>
    <t>ICPayToAflacBenAdv</t>
  </si>
  <si>
    <t>1500 2905028012</t>
  </si>
  <si>
    <t>1500 2905028019</t>
  </si>
  <si>
    <t>1510 1301080001</t>
  </si>
  <si>
    <t>1510 1301080004</t>
  </si>
  <si>
    <t>1510 2905028014</t>
  </si>
  <si>
    <t>1510 1301080020</t>
  </si>
  <si>
    <t>1510 2905010001</t>
  </si>
  <si>
    <t>1510 2905028001</t>
  </si>
  <si>
    <t>1550 1301110004</t>
  </si>
  <si>
    <t>1600 1301080004</t>
  </si>
  <si>
    <t>1600 1301150001</t>
  </si>
  <si>
    <t>1600 1301080003</t>
  </si>
  <si>
    <t>1600 2905028024</t>
  </si>
  <si>
    <t>1600 2905028014</t>
  </si>
  <si>
    <t>1600 1301080022</t>
  </si>
  <si>
    <t>1600 1301080020</t>
  </si>
  <si>
    <t>1600 2905028001</t>
  </si>
  <si>
    <t>1600 1301120008</t>
  </si>
  <si>
    <t>IntercoAR Columbus P</t>
  </si>
  <si>
    <t>1600 1301190005</t>
  </si>
  <si>
    <t>RecReinsAllwDoubtAc</t>
  </si>
  <si>
    <t>1800 1301110001</t>
  </si>
  <si>
    <t>1800 2905028030</t>
  </si>
  <si>
    <t>I/CPay AVJ</t>
  </si>
  <si>
    <t>1800 2905028024</t>
  </si>
  <si>
    <t>1800 1301080035</t>
  </si>
  <si>
    <t>I/CRec AVJ</t>
  </si>
  <si>
    <t>1800 1301080026</t>
  </si>
  <si>
    <t>1800 2905010001</t>
  </si>
  <si>
    <t>1830 1301110001</t>
  </si>
  <si>
    <t>1830 2905028018</t>
  </si>
  <si>
    <t>1840 1301080003</t>
  </si>
  <si>
    <t>1840 1301110001</t>
  </si>
  <si>
    <t>1840 2905028015</t>
  </si>
  <si>
    <t>1840 1301080018</t>
  </si>
  <si>
    <t>1840 1301080029</t>
  </si>
  <si>
    <t>1840 1301080021</t>
  </si>
  <si>
    <t>1840 2905028008</t>
  </si>
  <si>
    <t>1840 2905028001</t>
  </si>
  <si>
    <t>1870 1301113100</t>
  </si>
  <si>
    <t>1870 1301080036</t>
  </si>
  <si>
    <t>I/CRecHatchHealthcar</t>
  </si>
  <si>
    <t>1871 1301113100</t>
  </si>
  <si>
    <t>1871 1301080035</t>
  </si>
  <si>
    <t>2200 1301120003</t>
  </si>
  <si>
    <t>2200 2905028024</t>
  </si>
  <si>
    <t>2200 1301080022</t>
  </si>
  <si>
    <t>2200 2905028008</t>
  </si>
  <si>
    <t>2200 2905028035</t>
  </si>
  <si>
    <t>IntercoPay ZALICO</t>
  </si>
  <si>
    <t>IntercoPay ZALICONY</t>
  </si>
  <si>
    <t>2200 1301110009</t>
  </si>
  <si>
    <t>IntercoRec ZALICO</t>
  </si>
  <si>
    <t>IntercoRec ZALICONY</t>
  </si>
  <si>
    <t>2200 1301190006</t>
  </si>
  <si>
    <t>RecReinsAmtsRecov</t>
  </si>
  <si>
    <t>2200 1301190011</t>
  </si>
  <si>
    <t>RecReinsAR-PLADS</t>
  </si>
  <si>
    <t>2300 1301080020</t>
  </si>
  <si>
    <t>2300 2905021009</t>
  </si>
  <si>
    <t>ICPayToAflColFund</t>
  </si>
  <si>
    <t>2400 1301190019</t>
  </si>
  <si>
    <t>FSCDOthReinRecCeded</t>
  </si>
  <si>
    <t>2400 1301190012</t>
  </si>
  <si>
    <t>FSCDReinClaimCeded</t>
  </si>
  <si>
    <t>2400 1301190205</t>
  </si>
  <si>
    <t>FSCDReinClmS/DepGCed</t>
  </si>
  <si>
    <t>2400 1301113100</t>
  </si>
  <si>
    <t>2400 1301120001</t>
  </si>
  <si>
    <t>2400 1301100001</t>
  </si>
  <si>
    <t>2400 1301180002</t>
  </si>
  <si>
    <t>2400 1301080008</t>
  </si>
  <si>
    <t>I/CColSTPbl</t>
  </si>
  <si>
    <t>2400 1301120003</t>
  </si>
  <si>
    <t>2400 2905028011</t>
  </si>
  <si>
    <t>I/CPayEB(1510)</t>
  </si>
  <si>
    <t>2400 1301080034</t>
  </si>
  <si>
    <t>2400 1301080017</t>
  </si>
  <si>
    <t>2400 1301110003</t>
  </si>
  <si>
    <t>ICIntRecIncAccr</t>
  </si>
  <si>
    <t>2400 2905028008</t>
  </si>
  <si>
    <t>2400 2905021008</t>
  </si>
  <si>
    <t>2400 2905031001</t>
  </si>
  <si>
    <t>2400 2905028002</t>
  </si>
  <si>
    <t>ICPaytoCcorp</t>
  </si>
  <si>
    <t>2400 2905023006</t>
  </si>
  <si>
    <t>ICPayToHK</t>
  </si>
  <si>
    <t>2400 1301120007</t>
  </si>
  <si>
    <t>ICRecCCorpPrintOrd</t>
  </si>
  <si>
    <t>2400 1301080027</t>
  </si>
  <si>
    <t>2400 2905028036</t>
  </si>
  <si>
    <t>2400 1301080041</t>
  </si>
  <si>
    <t>2400 1301190006</t>
  </si>
  <si>
    <t>2400 1301190011</t>
  </si>
  <si>
    <t>2400 1301190001</t>
  </si>
  <si>
    <t>RecReinsClaim</t>
  </si>
  <si>
    <t>2450 1301190207</t>
  </si>
  <si>
    <t>FSCDSettleDiff</t>
  </si>
  <si>
    <t>2450 1301190208</t>
  </si>
  <si>
    <t>FSCDSettleDiffAff</t>
  </si>
  <si>
    <t>2450 1301080004</t>
  </si>
  <si>
    <t>2450 1301110001</t>
  </si>
  <si>
    <t>2450 2905028014</t>
  </si>
  <si>
    <t>2450 2905010001</t>
  </si>
  <si>
    <t>2450 2905028001</t>
  </si>
  <si>
    <t>2450 1301190201</t>
  </si>
  <si>
    <t>RecReinRenAssumedTR2</t>
  </si>
  <si>
    <t>2450 1301190202</t>
  </si>
  <si>
    <t>RecReinRenAssumedTR3</t>
  </si>
  <si>
    <t>2500 1301190019</t>
  </si>
  <si>
    <t>2500 1301190012</t>
  </si>
  <si>
    <t>2500 1301120001</t>
  </si>
  <si>
    <t>2500 1301080040</t>
  </si>
  <si>
    <t>2500 1301180002</t>
  </si>
  <si>
    <t>2500 1301120003</t>
  </si>
  <si>
    <t>2500 2905028028</t>
  </si>
  <si>
    <t>2500 2905028011</t>
  </si>
  <si>
    <t>2500 1301080022</t>
  </si>
  <si>
    <t>2500 1301080033</t>
  </si>
  <si>
    <t>2500 1301080029</t>
  </si>
  <si>
    <t>2500 1301080016</t>
  </si>
  <si>
    <t>I/CRecAGI(2550)</t>
  </si>
  <si>
    <t>2500 1301080017</t>
  </si>
  <si>
    <t>2500 2905028008</t>
  </si>
  <si>
    <t>2500 2905021008</t>
  </si>
  <si>
    <t>2500 2905028010</t>
  </si>
  <si>
    <t>2500 2905028035</t>
  </si>
  <si>
    <t>2500 1301110009</t>
  </si>
  <si>
    <t>2500 1301190006</t>
  </si>
  <si>
    <t>2500 1301190011</t>
  </si>
  <si>
    <t>2550 1301080004</t>
  </si>
  <si>
    <t>2550 1301110001</t>
  </si>
  <si>
    <t>2550 2905028001</t>
  </si>
  <si>
    <t>2550 1301190201</t>
  </si>
  <si>
    <t>2550 1301190202</t>
  </si>
  <si>
    <t>2560 1301080004</t>
  </si>
  <si>
    <t>2560 1301080003</t>
  </si>
  <si>
    <t>2560 2905028001</t>
  </si>
  <si>
    <t>2600 1301190012</t>
  </si>
  <si>
    <t>2600 1301120001</t>
  </si>
  <si>
    <t>2600 1301120003</t>
  </si>
  <si>
    <t>2600 2905028024</t>
  </si>
  <si>
    <t>2600 1301080029</t>
  </si>
  <si>
    <t>2600 2905028008</t>
  </si>
  <si>
    <t>2600 1301190006</t>
  </si>
  <si>
    <t>2810 1301080004</t>
  </si>
  <si>
    <t>2810 2905028001</t>
  </si>
  <si>
    <t>2900 1301190206</t>
  </si>
  <si>
    <t>FSCDRecRNASMD</t>
  </si>
  <si>
    <t>2900 1301190208</t>
  </si>
  <si>
    <t>2900 2905028014</t>
  </si>
  <si>
    <t>2900 1301080020</t>
  </si>
  <si>
    <t>2900 2905028008</t>
  </si>
  <si>
    <t>3000 1301113102</t>
  </si>
  <si>
    <t>I/C ALIJ (USD)3000ol</t>
  </si>
  <si>
    <t>3000 1301111100</t>
  </si>
  <si>
    <t>I/C INC (JPY)3000ol</t>
  </si>
  <si>
    <t>3000 2905031201</t>
  </si>
  <si>
    <t>ICPayAINT (USD)3000</t>
  </si>
  <si>
    <t>3000 2905031104</t>
  </si>
  <si>
    <t>ICPayALIJ (JPY)3000</t>
  </si>
  <si>
    <t>3100 1301111250</t>
  </si>
  <si>
    <t>3100 1301080028</t>
  </si>
  <si>
    <t>I/C Receivable AIP</t>
  </si>
  <si>
    <t>3100 1301080001</t>
  </si>
  <si>
    <t>3100 1301150001</t>
  </si>
  <si>
    <t>3100 1301150002</t>
  </si>
  <si>
    <t>3100 1301170001</t>
  </si>
  <si>
    <t>3100 1301130001</t>
  </si>
  <si>
    <t>3100 1301140001</t>
  </si>
  <si>
    <t>3100 1301110001</t>
  </si>
  <si>
    <t>3100 2905028017</t>
  </si>
  <si>
    <t>I/CPay-AHLLC</t>
  </si>
  <si>
    <t>3100 1301080035</t>
  </si>
  <si>
    <t>3100 1301113160</t>
  </si>
  <si>
    <t>I/CRec Pet SSIJ</t>
  </si>
  <si>
    <t>3100 1301080022</t>
  </si>
  <si>
    <t>3100 1301080038</t>
  </si>
  <si>
    <t>I/CRecADS</t>
  </si>
  <si>
    <t>3100 1301080023</t>
  </si>
  <si>
    <t>3100 1301113140</t>
  </si>
  <si>
    <t>3100 1301113141</t>
  </si>
  <si>
    <t>I/CRecASI(long term</t>
  </si>
  <si>
    <t>3100 1301113110</t>
  </si>
  <si>
    <t>I/CReceivable Tsusan</t>
  </si>
  <si>
    <t>3100 1301080036</t>
  </si>
  <si>
    <t>3100 2905031250</t>
  </si>
  <si>
    <t>ICPayTo AAMJLTD</t>
  </si>
  <si>
    <t>3100 2905021003</t>
  </si>
  <si>
    <t>3100 2905021002</t>
  </si>
  <si>
    <t>ICPayToAflColST</t>
  </si>
  <si>
    <t>3100 2905021010</t>
  </si>
  <si>
    <t>3100 2905010001</t>
  </si>
  <si>
    <t>3100 2905024001</t>
  </si>
  <si>
    <t>3100 2905036001</t>
  </si>
  <si>
    <t>ICPayToAHS</t>
  </si>
  <si>
    <t>3100 2905032001</t>
  </si>
  <si>
    <t>3110 1301113100</t>
  </si>
  <si>
    <t>3140 1301140001</t>
  </si>
  <si>
    <t>3140 2905033001</t>
  </si>
  <si>
    <t>*</t>
  </si>
  <si>
    <t>Production Client                                    G/L Account Balances                                    Time 09:02:47     Date  09/24/2026</t>
  </si>
  <si>
    <t>Columbus, GA       Ledger Z4                                                                                 RFSUSA00/E15412   Page           2</t>
  </si>
  <si>
    <t xml:space="preserve">                                               Per month September 2026 across all company codes</t>
  </si>
  <si>
    <t>Company Name</t>
  </si>
  <si>
    <t xml:space="preserve">      Debit Sep.</t>
  </si>
  <si>
    <t xml:space="preserve">     Credit Sep.</t>
  </si>
  <si>
    <t>Debit Jan. - Sep.</t>
  </si>
  <si>
    <t>Credit Jan. - Sep.</t>
  </si>
  <si>
    <t xml:space="preserve">     Total Debit</t>
  </si>
  <si>
    <t xml:space="preserve">    Total Credit</t>
  </si>
  <si>
    <t>Crcy</t>
  </si>
  <si>
    <t>Aflac Incorporated</t>
  </si>
  <si>
    <t>USD</t>
  </si>
  <si>
    <t>Aflac GI Holdings LLC</t>
  </si>
  <si>
    <t>Aflac International</t>
  </si>
  <si>
    <t>Aflac Insurance Service</t>
  </si>
  <si>
    <t>JPY</t>
  </si>
  <si>
    <t>Aflac Payment Service</t>
  </si>
  <si>
    <t>Aflac Int. Japan Branch</t>
  </si>
  <si>
    <t>Aflac Heartful Services</t>
  </si>
  <si>
    <t>Aflac Asset Mgt. LLC</t>
  </si>
  <si>
    <t>Aflac Asset Mgt Japan</t>
  </si>
  <si>
    <t>Aflac Northern Ireland L</t>
  </si>
  <si>
    <t>GBP</t>
  </si>
  <si>
    <t>Aflac Information Tech</t>
  </si>
  <si>
    <t>Simple Technology LLC</t>
  </si>
  <si>
    <t>Aflac Benefits Advisors</t>
  </si>
  <si>
    <t>Empowered Benefits, LLC</t>
  </si>
  <si>
    <t>Communicorp</t>
  </si>
  <si>
    <t>Aflac Global Venture LLC</t>
  </si>
  <si>
    <t>Aflac Ventures LLC</t>
  </si>
  <si>
    <t>Aflac Ventures Seed Fund</t>
  </si>
  <si>
    <t>Aflac Ventures India Fun</t>
  </si>
  <si>
    <t>Aflac Ventures Lab</t>
  </si>
  <si>
    <t>Empowered Insure LLC</t>
  </si>
  <si>
    <t>Aflac Infosec Svcs LLC</t>
  </si>
  <si>
    <t>Aflac Ventures Japan</t>
  </si>
  <si>
    <t>Hatch Healthcare</t>
  </si>
  <si>
    <t>Aflac New York</t>
  </si>
  <si>
    <t>Hong Kong</t>
  </si>
  <si>
    <t>HKD</t>
  </si>
  <si>
    <t>Aflac Columbus</t>
  </si>
  <si>
    <t>Aflac Columbus Retrocess</t>
  </si>
  <si>
    <t>Continental American Ins</t>
  </si>
  <si>
    <t>CAIC - PFML</t>
  </si>
  <si>
    <t>Tier One Insurance Comp.</t>
  </si>
  <si>
    <t>Aflac Benefits Solutions</t>
  </si>
  <si>
    <t>Aflac Re Bermuda Ltd.</t>
  </si>
  <si>
    <t>Aflac Holdings LLC</t>
  </si>
  <si>
    <t>Aflac Life Ins Japan</t>
  </si>
  <si>
    <t>Tsusan KK</t>
  </si>
  <si>
    <t>Aflac Small Insurance</t>
  </si>
  <si>
    <t>VALUE DATE</t>
  </si>
  <si>
    <t>INTERCOMPANY SETTLEMENT</t>
  </si>
  <si>
    <t>Paying Entity</t>
  </si>
  <si>
    <t>Receiving Entity</t>
  </si>
  <si>
    <t>Amount</t>
  </si>
  <si>
    <t xml:space="preserve">Kyriba Code </t>
  </si>
  <si>
    <t>Debit Payable</t>
  </si>
  <si>
    <t>Credit Bank</t>
  </si>
  <si>
    <t>Kyriba Code 2</t>
  </si>
  <si>
    <t>Debit Bank</t>
  </si>
  <si>
    <t>Credit Receivable</t>
  </si>
  <si>
    <t>1000JPMUS269</t>
  </si>
  <si>
    <t>1100JPMUS783</t>
  </si>
  <si>
    <t>1200JPMUS627</t>
  </si>
  <si>
    <t>1400JPMUS809</t>
  </si>
  <si>
    <t>1500JPMUS737</t>
  </si>
  <si>
    <t>1600JPMUS793</t>
  </si>
  <si>
    <t>1800BOAUS790</t>
  </si>
  <si>
    <t>1810BOAUS800</t>
  </si>
  <si>
    <t>1820JPMUS878</t>
  </si>
  <si>
    <t>1825JPMUS952</t>
  </si>
  <si>
    <t>2905028025</t>
  </si>
  <si>
    <t>1860JPMUS344</t>
  </si>
  <si>
    <t>2200JPMUS916</t>
  </si>
  <si>
    <t>2400JPMUS874</t>
  </si>
  <si>
    <t>2500JPMUS633</t>
  </si>
  <si>
    <t>2560JPMUS737</t>
  </si>
  <si>
    <t>2600JPMUS174</t>
  </si>
  <si>
    <t>2810PNCUS054</t>
  </si>
  <si>
    <t>2900JPMUS125</t>
  </si>
  <si>
    <t>1202690532</t>
  </si>
  <si>
    <t>1202690552</t>
  </si>
  <si>
    <t>1202690531</t>
  </si>
  <si>
    <t>1202690242</t>
  </si>
  <si>
    <t>1202690241</t>
  </si>
  <si>
    <t>1830JPMUS910</t>
  </si>
  <si>
    <t>2905010001</t>
  </si>
  <si>
    <t>1301080026</t>
  </si>
  <si>
    <t>1840JPMUS385</t>
  </si>
  <si>
    <t>1301080029</t>
  </si>
  <si>
    <t>1301080030</t>
  </si>
  <si>
    <t>2905028018</t>
  </si>
  <si>
    <t>2905028014</t>
  </si>
  <si>
    <t>1202690551</t>
  </si>
  <si>
    <t>1202690661</t>
  </si>
  <si>
    <t>1301080020</t>
  </si>
  <si>
    <t>1202691251</t>
  </si>
  <si>
    <t>1202691252</t>
  </si>
  <si>
    <t>1202690662</t>
  </si>
  <si>
    <t>I_C-INC-AVL</t>
  </si>
  <si>
    <t>IC SETTLE 1000 INC TO 1830 AVL</t>
  </si>
  <si>
    <t>INACTIVE</t>
  </si>
  <si>
    <t>I_C-INC-EI</t>
  </si>
  <si>
    <t>IC SETTLE 1000 INC TO 1840 EI</t>
  </si>
  <si>
    <t>I_C-AGV-AIS</t>
  </si>
  <si>
    <t>IC SETTLE 1800 AGV TO 1860 AIS</t>
  </si>
  <si>
    <t>n/a</t>
  </si>
  <si>
    <t>CROSS-TAB VERIFICATION SUMMARY</t>
  </si>
  <si>
    <t>Tab</t>
  </si>
  <si>
    <t>Settlement Count</t>
  </si>
  <si>
    <t>RECON</t>
  </si>
  <si>
    <t>Kyriba PET Upload</t>
  </si>
  <si>
    <t>Treasury Payments &amp; Accounting</t>
  </si>
  <si>
    <t>MATCH CHECK</t>
  </si>
  <si>
    <t>PET Code</t>
  </si>
  <si>
    <t xml:space="preserve">Amount </t>
  </si>
  <si>
    <t>Value Date (MM/DD/YYYY)</t>
  </si>
  <si>
    <t>Only save the lines with amounts as .CSV file for upload to Kyriba</t>
  </si>
  <si>
    <t>Receivable</t>
  </si>
  <si>
    <t>G/L</t>
  </si>
  <si>
    <t>This doesn’t work and needs to be fixed.</t>
  </si>
  <si>
    <t>How the Balance Check macro works:</t>
  </si>
  <si>
    <t>The BAL tab pulls all the I/C accounts via vlookup from the SAP tab.</t>
  </si>
  <si>
    <t>If a new I/C account is added, you need to add the vlookup for it in BAL tab.</t>
  </si>
  <si>
    <t>Formulas in column AO of BAL tab determine if out of balance exists.</t>
  </si>
  <si>
    <t>Then the macro pulls the results of the formulas into a message box.</t>
  </si>
  <si>
    <t>1000 2905021008</t>
  </si>
  <si>
    <t>1100 1301080001</t>
  </si>
  <si>
    <t>1100 1301080011</t>
  </si>
  <si>
    <t>1100 2905021008</t>
  </si>
  <si>
    <t>1400 1301080001</t>
  </si>
  <si>
    <t>1400 2905021008</t>
  </si>
  <si>
    <t>1500 1301080001</t>
  </si>
  <si>
    <t>1500 2905021008</t>
  </si>
  <si>
    <t>2000 1301080004</t>
  </si>
  <si>
    <t>2000 1301150001</t>
  </si>
  <si>
    <t>2000 1301120004</t>
  </si>
  <si>
    <t>2000 1301080003</t>
  </si>
  <si>
    <t>2000 1301110001</t>
  </si>
  <si>
    <t>2000 1301110004</t>
  </si>
  <si>
    <t>2000 2905028006</t>
  </si>
  <si>
    <t>2000 2905010001</t>
  </si>
  <si>
    <t>2000 2905024001</t>
  </si>
  <si>
    <t>2000 2905022005</t>
  </si>
  <si>
    <t>2000 2905028003</t>
  </si>
  <si>
    <t>2000 2905028001</t>
  </si>
  <si>
    <t>2200 1301080001</t>
  </si>
  <si>
    <t>2200 2905021008</t>
  </si>
  <si>
    <t>2500 1301080001</t>
  </si>
  <si>
    <t>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</si>
</sst>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yy"/>
    <numFmt numFmtId="165" formatCode="[$-409]mmmm\-yy;@"/>
    <numFmt numFmtId="166" formatCode="_(* #,##0.00_);_(* \(#,##0.00\);_(* \-??_);_(@_)"/>
  </numFmts>
  <fonts count="25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u/>
      <sz val="12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b/>
      <i/>
      <sz val="10"/>
      <color rgb="FF00B0F0"/>
      <name val="Arial"/>
      <family val="2"/>
    </font>
    <font>
      <b/>
      <i/>
      <sz val="12"/>
      <color rgb="FF00B0F0"/>
      <name val="Arial"/>
      <family val="2"/>
    </font>
    <font>
      <b/>
      <sz val="11"/>
      <color rgb="FFFF0000"/>
      <name val="Arial"/>
      <family val="2"/>
    </font>
    <font>
      <b/>
      <i/>
      <sz val="10"/>
      <name val="Calibri"/>
      <family val="2"/>
      <scheme val="minor"/>
    </font>
    <font>
      <b/>
      <sz val="10"/>
      <name val="Cambria"/>
      <family val="1"/>
    </font>
    <font>
      <sz val="10"/>
      <name val="Arial"/>
      <family val="2"/>
      <charset val="1"/>
    </font>
    <font>
      <b/>
      <sz val="11"/>
      <color rgb="FFFFFFFF"/>
      <name val="Cambria"/>
      <family val="1"/>
    </font>
    <font>
      <b/>
      <sz val="11"/>
      <name val="Cambria"/>
      <family val="1"/>
    </font>
    <font>
      <i/>
      <sz val="10"/>
      <color rgb="FFFF0000"/>
      <name val="Arial"/>
      <family val="2"/>
    </font>
    <font>
      <sz val="11"/>
      <color theme="1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theme="1"/>
      <name val="Segoe UI"/>
      <family val="2"/>
    </font>
    <font>
      <sz val="8"/>
      <color rgb="FF00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E1F2"/>
        <bgColor rgb="FFEBF1DE"/>
      </patternFill>
    </fill>
    <fill>
      <patternFill patternType="solid">
        <fgColor rgb="FF2E4057"/>
        <bgColor rgb="FF333399"/>
      </patternFill>
    </fill>
    <fill>
      <patternFill patternType="solid">
        <fgColor rgb="FFF1F5FB"/>
        <bgColor rgb="FF000000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0">
    <xf numFmtId="0" fontId="0" fillId="0" borderId="0"/>
    <xf numFmtId="43" fontId="7" fillId="0" borderId="0"/>
    <xf numFmtId="43" fontId="3" fillId="0" borderId="0"/>
    <xf numFmtId="0" fontId="3" fillId="0" borderId="0"/>
    <xf numFmtId="0" fontId="3" fillId="0" borderId="0"/>
    <xf numFmtId="0" fontId="3" fillId="0" borderId="0"/>
    <xf numFmtId="44" fontId="7" fillId="0" borderId="0"/>
    <xf numFmtId="0" fontId="3" fillId="0" borderId="0"/>
    <xf numFmtId="0" fontId="8" fillId="0" borderId="0"/>
    <xf numFmtId="0" fontId="21" fillId="0" borderId="0"/>
    <xf numFmtId="166" fontId="17" fillId="0" borderId="0"/>
    <xf numFmtId="0" fontId="22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43" fontId="3" fillId="0" borderId="0"/>
    <xf numFmtId="0" fontId="3" fillId="0" borderId="0"/>
    <xf numFmtId="0" fontId="3" fillId="0" borderId="0"/>
    <xf numFmtId="0" fontId="24" fillId="8" borderId="22">
      <alignment horizontal="left" vertical="center" indent="1"/>
    </xf>
  </cellStyleXfs>
  <cellXfs count="90">
    <xf numFmtId="0" fontId="0" fillId="0" borderId="0" xfId="0"/>
    <xf numFmtId="0" fontId="2" fillId="0" borderId="0" xfId="5" applyFont="1"/>
    <xf numFmtId="0" fontId="2" fillId="0" borderId="0" xfId="4" applyFont="1"/>
    <xf numFmtId="0" fontId="2" fillId="0" borderId="0" xfId="4" applyFont="1" applyAlignment="1">
      <alignment horizontal="center"/>
    </xf>
    <xf numFmtId="0" fontId="6" fillId="0" borderId="0" xfId="5" applyFont="1"/>
    <xf numFmtId="43" fontId="7" fillId="0" borderId="0" xfId="1"/>
    <xf numFmtId="0" fontId="4" fillId="0" borderId="0" xfId="5" applyFont="1"/>
    <xf numFmtId="0" fontId="10" fillId="0" borderId="0" xfId="0" applyFont="1"/>
    <xf numFmtId="0" fontId="1" fillId="0" borderId="0" xfId="4" applyFont="1" applyAlignment="1">
      <alignment horizontal="center" wrapText="1"/>
    </xf>
    <xf numFmtId="0" fontId="2" fillId="0" borderId="0" xfId="4" applyFont="1" applyAlignment="1">
      <alignment wrapText="1"/>
    </xf>
    <xf numFmtId="4" fontId="0" fillId="0" borderId="0" xfId="0" applyNumberFormat="1"/>
    <xf numFmtId="3" fontId="0" fillId="0" borderId="0" xfId="0" applyNumberFormat="1"/>
    <xf numFmtId="0" fontId="9" fillId="0" borderId="0" xfId="0" applyFont="1"/>
    <xf numFmtId="0" fontId="0" fillId="2" borderId="0" xfId="0" applyFill="1" applyAlignment="1">
      <alignment horizontal="right"/>
    </xf>
    <xf numFmtId="0" fontId="0" fillId="0" borderId="0" xfId="0" applyAlignment="1">
      <alignment horizontal="center" wrapText="1"/>
    </xf>
    <xf numFmtId="40" fontId="5" fillId="0" borderId="0" xfId="2" applyNumberFormat="1" applyFont="1" applyAlignment="1">
      <alignment horizontal="right"/>
    </xf>
    <xf numFmtId="0" fontId="2" fillId="0" borderId="0" xfId="4" applyFont="1" applyAlignment="1">
      <alignment horizontal="center" wrapText="1"/>
    </xf>
    <xf numFmtId="40" fontId="2" fillId="0" borderId="1" xfId="4" applyNumberFormat="1" applyFont="1" applyBorder="1" applyAlignment="1">
      <alignment horizontal="center" wrapText="1"/>
    </xf>
    <xf numFmtId="0" fontId="14" fillId="0" borderId="2" xfId="4" applyFont="1" applyBorder="1" applyAlignment="1">
      <alignment horizontal="center" wrapText="1"/>
    </xf>
    <xf numFmtId="40" fontId="2" fillId="0" borderId="0" xfId="4" applyNumberFormat="1" applyFont="1" applyAlignment="1">
      <alignment horizontal="center" wrapText="1"/>
    </xf>
    <xf numFmtId="0" fontId="1" fillId="0" borderId="3" xfId="4" applyFont="1" applyBorder="1" applyAlignment="1">
      <alignment wrapText="1"/>
    </xf>
    <xf numFmtId="40" fontId="1" fillId="0" borderId="4" xfId="4" applyNumberFormat="1" applyFont="1" applyBorder="1"/>
    <xf numFmtId="0" fontId="11" fillId="0" borderId="2" xfId="4" applyFont="1" applyBorder="1" applyAlignment="1">
      <alignment horizontal="center" wrapText="1"/>
    </xf>
    <xf numFmtId="0" fontId="9" fillId="2" borderId="0" xfId="0" applyFont="1" applyFill="1" applyAlignment="1">
      <alignment horizontal="right"/>
    </xf>
    <xf numFmtId="0" fontId="0" fillId="0" borderId="0" xfId="1" applyNumberFormat="1" applyFont="1"/>
    <xf numFmtId="164" fontId="0" fillId="0" borderId="0" xfId="0" applyNumberFormat="1"/>
    <xf numFmtId="0" fontId="1" fillId="0" borderId="0" xfId="4" applyFont="1"/>
    <xf numFmtId="14" fontId="1" fillId="3" borderId="18" xfId="4" applyNumberFormat="1" applyFont="1" applyFill="1" applyBorder="1" applyAlignment="1">
      <alignment horizontal="center"/>
    </xf>
    <xf numFmtId="0" fontId="2" fillId="0" borderId="11" xfId="4" applyFont="1" applyBorder="1" applyAlignment="1">
      <alignment wrapText="1"/>
    </xf>
    <xf numFmtId="0" fontId="2" fillId="0" borderId="12" xfId="4" applyFont="1" applyBorder="1"/>
    <xf numFmtId="0" fontId="2" fillId="0" borderId="13" xfId="4" applyFont="1" applyBorder="1"/>
    <xf numFmtId="0" fontId="1" fillId="0" borderId="14" xfId="4" applyFont="1" applyBorder="1" applyAlignment="1">
      <alignment horizontal="center" wrapText="1"/>
    </xf>
    <xf numFmtId="0" fontId="1" fillId="0" borderId="15" xfId="4" applyFont="1" applyBorder="1" applyAlignment="1">
      <alignment horizontal="center" wrapText="1"/>
    </xf>
    <xf numFmtId="0" fontId="0" fillId="0" borderId="14" xfId="0" applyBorder="1"/>
    <xf numFmtId="44" fontId="0" fillId="0" borderId="15" xfId="6" applyFont="1" applyBorder="1"/>
    <xf numFmtId="0" fontId="9" fillId="0" borderId="14" xfId="0" applyFont="1" applyBorder="1" applyAlignment="1">
      <alignment wrapText="1"/>
    </xf>
    <xf numFmtId="0" fontId="9" fillId="0" borderId="0" xfId="0" applyFont="1" applyAlignment="1">
      <alignment wrapText="1"/>
    </xf>
    <xf numFmtId="0" fontId="9" fillId="0" borderId="15" xfId="0" applyFont="1" applyBorder="1" applyAlignment="1">
      <alignment wrapText="1"/>
    </xf>
    <xf numFmtId="0" fontId="0" fillId="0" borderId="14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5" xfId="0" applyBorder="1" applyAlignment="1">
      <alignment horizontal="right"/>
    </xf>
    <xf numFmtId="0" fontId="1" fillId="5" borderId="14" xfId="4" applyFont="1" applyFill="1" applyBorder="1" applyAlignment="1">
      <alignment horizontal="center" wrapText="1"/>
    </xf>
    <xf numFmtId="0" fontId="1" fillId="5" borderId="15" xfId="4" applyFont="1" applyFill="1" applyBorder="1" applyAlignment="1">
      <alignment horizontal="center" wrapText="1"/>
    </xf>
    <xf numFmtId="0" fontId="2" fillId="5" borderId="14" xfId="4" applyFont="1" applyFill="1" applyBorder="1" applyAlignment="1">
      <alignment wrapText="1"/>
    </xf>
    <xf numFmtId="0" fontId="2" fillId="5" borderId="15" xfId="4" applyFont="1" applyFill="1" applyBorder="1"/>
    <xf numFmtId="0" fontId="0" fillId="5" borderId="14" xfId="0" applyFill="1" applyBorder="1"/>
    <xf numFmtId="0" fontId="0" fillId="5" borderId="15" xfId="0" applyFill="1" applyBorder="1"/>
    <xf numFmtId="0" fontId="2" fillId="5" borderId="14" xfId="4" applyFont="1" applyFill="1" applyBorder="1"/>
    <xf numFmtId="0" fontId="2" fillId="5" borderId="14" xfId="4" applyFont="1" applyFill="1" applyBorder="1" applyAlignment="1">
      <alignment horizontal="center"/>
    </xf>
    <xf numFmtId="0" fontId="2" fillId="5" borderId="15" xfId="4" applyFont="1" applyFill="1" applyBorder="1" applyAlignment="1">
      <alignment horizontal="center"/>
    </xf>
    <xf numFmtId="0" fontId="2" fillId="0" borderId="0" xfId="7" applyFont="1"/>
    <xf numFmtId="0" fontId="6" fillId="0" borderId="0" xfId="7" applyFont="1"/>
    <xf numFmtId="0" fontId="8" fillId="0" borderId="0" xfId="8"/>
    <xf numFmtId="0" fontId="11" fillId="0" borderId="0" xfId="7" applyFont="1"/>
    <xf numFmtId="0" fontId="12" fillId="0" borderId="7" xfId="7" applyFont="1" applyBorder="1"/>
    <xf numFmtId="0" fontId="12" fillId="0" borderId="8" xfId="7" applyFont="1" applyBorder="1"/>
    <xf numFmtId="0" fontId="13" fillId="0" borderId="9" xfId="7" applyFont="1" applyBorder="1"/>
    <xf numFmtId="0" fontId="12" fillId="0" borderId="10" xfId="7" applyFont="1" applyBorder="1"/>
    <xf numFmtId="0" fontId="12" fillId="0" borderId="5" xfId="7" applyFont="1" applyBorder="1"/>
    <xf numFmtId="0" fontId="13" fillId="0" borderId="6" xfId="7" applyFont="1" applyBorder="1"/>
    <xf numFmtId="0" fontId="16" fillId="6" borderId="20" xfId="0" applyFont="1" applyFill="1" applyBorder="1"/>
    <xf numFmtId="4" fontId="16" fillId="6" borderId="20" xfId="0" applyNumberFormat="1" applyFont="1" applyFill="1" applyBorder="1"/>
    <xf numFmtId="0" fontId="17" fillId="0" borderId="0" xfId="0" applyFont="1"/>
    <xf numFmtId="0" fontId="17" fillId="0" borderId="0" xfId="0" applyFont="1" applyAlignment="1">
      <alignment wrapText="1"/>
    </xf>
    <xf numFmtId="0" fontId="18" fillId="7" borderId="0" xfId="0" applyFont="1" applyFill="1"/>
    <xf numFmtId="0" fontId="19" fillId="6" borderId="20" xfId="0" applyFont="1" applyFill="1" applyBorder="1" applyAlignment="1">
      <alignment horizontal="center"/>
    </xf>
    <xf numFmtId="0" fontId="16" fillId="0" borderId="20" xfId="0" applyFont="1" applyBorder="1"/>
    <xf numFmtId="0" fontId="0" fillId="0" borderId="20" xfId="0" applyBorder="1" applyAlignment="1">
      <alignment horizontal="center"/>
    </xf>
    <xf numFmtId="4" fontId="0" fillId="0" borderId="20" xfId="0" applyNumberFormat="1" applyBorder="1"/>
    <xf numFmtId="0" fontId="19" fillId="0" borderId="20" xfId="0" applyFont="1" applyBorder="1"/>
    <xf numFmtId="0" fontId="20" fillId="0" borderId="0" xfId="0" applyFont="1"/>
    <xf numFmtId="0" fontId="21" fillId="0" borderId="0" xfId="9"/>
    <xf numFmtId="0" fontId="0" fillId="2" borderId="0" xfId="0" applyFill="1"/>
    <xf numFmtId="0" fontId="0" fillId="2" borderId="14" xfId="0" applyFill="1" applyBorder="1"/>
    <xf numFmtId="0" fontId="0" fillId="2" borderId="14" xfId="0" applyFill="1" applyBorder="1" applyAlignment="1">
      <alignment horizontal="right"/>
    </xf>
    <xf numFmtId="0" fontId="0" fillId="2" borderId="15" xfId="0" applyFill="1" applyBorder="1" applyAlignment="1">
      <alignment horizontal="right"/>
    </xf>
    <xf numFmtId="0" fontId="2" fillId="5" borderId="16" xfId="4" applyFont="1" applyFill="1" applyBorder="1" applyAlignment="1">
      <alignment wrapText="1"/>
    </xf>
    <xf numFmtId="0" fontId="2" fillId="5" borderId="17" xfId="4" applyFont="1" applyFill="1" applyBorder="1"/>
    <xf numFmtId="0" fontId="1" fillId="5" borderId="23" xfId="4" applyFont="1" applyFill="1" applyBorder="1" applyAlignment="1">
      <alignment horizontal="center" wrapText="1"/>
    </xf>
    <xf numFmtId="0" fontId="0" fillId="0" borderId="19" xfId="0" applyBorder="1"/>
    <xf numFmtId="165" fontId="1" fillId="0" borderId="0" xfId="4" applyNumberFormat="1" applyFont="1" applyAlignment="1">
      <alignment horizontal="center"/>
    </xf>
    <xf numFmtId="0" fontId="2" fillId="0" borderId="0" xfId="4" applyFont="1"/>
    <xf numFmtId="0" fontId="2" fillId="0" borderId="0" xfId="4" applyFont="1" applyAlignment="1">
      <alignment horizontal="center"/>
    </xf>
    <xf numFmtId="0" fontId="1" fillId="0" borderId="0" xfId="4" applyFont="1" applyAlignment="1">
      <alignment horizontal="center"/>
    </xf>
    <xf numFmtId="0" fontId="0" fillId="0" borderId="0" xfId="0"/>
    <xf numFmtId="0" fontId="15" fillId="4" borderId="24" xfId="0" applyFont="1" applyFill="1" applyBorder="1" applyAlignment="1">
      <alignment horizontal="center" wrapText="1"/>
    </xf>
    <xf numFmtId="0" fontId="0" fillId="0" borderId="12" xfId="0" applyBorder="1"/>
    <xf numFmtId="0" fontId="0" fillId="0" borderId="13" xfId="0" applyBorder="1"/>
    <xf numFmtId="0" fontId="23" fillId="0" borderId="21" xfId="0" applyFont="1" applyBorder="1" applyAlignment="1">
      <alignment horizontal="center" vertical="center"/>
    </xf>
    <xf numFmtId="0" fontId="0" fillId="0" borderId="1" xfId="0" applyBorder="1"/>
  </cellXfs>
  <cellStyles count="20">
    <cellStyle name="Comma" xfId="1" builtinId="3"/>
    <cellStyle name="Comma 2" xfId="2" xr:uid="{00000000-0005-0000-0000-000002000000}"/>
    <cellStyle name="Comma 2 2" xfId="10" xr:uid="{00000000-0005-0000-0000-00000A000000}"/>
    <cellStyle name="Comma 2 3" xfId="16" xr:uid="{00000000-0005-0000-0000-000010000000}"/>
    <cellStyle name="Currency" xfId="6" builtinId="4"/>
    <cellStyle name="Hyperlink 2" xfId="8" xr:uid="{00000000-0005-0000-0000-000008000000}"/>
    <cellStyle name="Hyperlink 2 2" xfId="11" xr:uid="{00000000-0005-0000-0000-00000B000000}"/>
    <cellStyle name="Normal" xfId="0" builtinId="0"/>
    <cellStyle name="Normal 2" xfId="3" xr:uid="{00000000-0005-0000-0000-000003000000}"/>
    <cellStyle name="Normal 2 2" xfId="4" xr:uid="{00000000-0005-0000-0000-000004000000}"/>
    <cellStyle name="Normal 2 2 2" xfId="13" xr:uid="{00000000-0005-0000-0000-00000D000000}"/>
    <cellStyle name="Normal 2 2 3" xfId="18" xr:uid="{00000000-0005-0000-0000-000012000000}"/>
    <cellStyle name="Normal 2 3" xfId="12" xr:uid="{00000000-0005-0000-0000-00000C000000}"/>
    <cellStyle name="Normal 2 4" xfId="17" xr:uid="{00000000-0005-0000-0000-000011000000}"/>
    <cellStyle name="Normal 3" xfId="5" xr:uid="{00000000-0005-0000-0000-000005000000}"/>
    <cellStyle name="Normal 3 2" xfId="7" xr:uid="{00000000-0005-0000-0000-000007000000}"/>
    <cellStyle name="Normal 3 2 2" xfId="15" xr:uid="{00000000-0005-0000-0000-00000F000000}"/>
    <cellStyle name="Normal 3 3" xfId="14" xr:uid="{00000000-0005-0000-0000-00000E000000}"/>
    <cellStyle name="Normal 4" xfId="9" xr:uid="{00000000-0005-0000-0000-000009000000}"/>
    <cellStyle name="SAPHierarchyCell4" xfId="19" xr:uid="{00000000-0005-0000-0000-000013000000}"/>
  </cellStyles>
  <dxfs count="10">
    <dxf>
      <alignment horizontal="right" vertical="bottom"/>
      <border>
        <left/>
        <right style="thin">
          <color indexed="64"/>
        </right>
        <top/>
        <bottom/>
        <vertical/>
        <horizontal/>
      </border>
    </dxf>
    <dxf>
      <alignment horizontal="right" vertical="bottom"/>
    </dxf>
    <dxf>
      <alignment horizontal="right" vertical="bottom"/>
      <border>
        <left style="thin">
          <color indexed="64"/>
        </left>
        <right/>
        <top/>
        <bottom/>
        <vertical/>
        <horizontal/>
      </border>
    </dxf>
    <dxf>
      <alignment horizontal="right" vertical="bottom"/>
      <border>
        <left/>
        <right style="thin">
          <color indexed="64"/>
        </right>
        <top/>
        <bottom/>
        <vertical/>
        <horizontal/>
      </border>
    </dxf>
    <dxf>
      <alignment horizontal="right" vertical="bottom"/>
    </dxf>
    <dxf>
      <alignment horizontal="right" vertical="bottom"/>
      <border>
        <left style="thin">
          <color indexed="64"/>
        </left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border>
        <left/>
        <right style="thin">
          <color indexed="64"/>
        </right>
        <top/>
        <bottom/>
        <vertical/>
        <horizontal/>
      </border>
    </dxf>
    <dxf>
      <border>
        <left style="thin">
          <color indexed="64"/>
        </left>
        <right/>
        <top/>
        <bottom/>
        <vertical/>
        <horizontal/>
      </border>
    </dxf>
    <dxf>
      <alignment horizontal="right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general" vertical="bottom" wrapText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coveredExternalLink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SAP"/>
      <sheetName val="RECON"/>
      <sheetName val="Manual ACH 1"/>
      <sheetName val="Upload ACH1"/>
      <sheetName val="ZTRF 10000012"/>
      <sheetName val="ZTRF 10000011"/>
      <sheetName val="ZTRF 10000010"/>
      <sheetName val="2500 ZTRF 10000008"/>
      <sheetName val="Manual ACH2"/>
      <sheetName val="Upload ACH2"/>
      <sheetName val="BAL"/>
    </sheetNames>
    <sheetDataSet>
      <sheetData sheetId="0"/>
      <sheetData sheetId="1">
        <row r="1">
          <cell r="A1" t="str">
            <v>Aflac Incorporated             G/L Account Balances             Date  04/24/2026</v>
          </cell>
        </row>
        <row r="2">
          <cell r="A2" t="str">
            <v>Columbus            Ledger Z4                                   Page           1</v>
          </cell>
        </row>
        <row r="3">
          <cell r="A3" t="str">
            <v xml:space="preserve">                    Per month April 2026 in company code 1000</v>
          </cell>
        </row>
        <row r="5">
          <cell r="C5" t="str">
            <v>CoCd</v>
          </cell>
          <cell r="D5" t="str">
            <v>G/L Acct</v>
          </cell>
          <cell r="E5" t="str">
            <v>Short Text</v>
          </cell>
          <cell r="G5" t="str">
            <v xml:space="preserve">   Debit Balance</v>
          </cell>
          <cell r="I5" t="str">
            <v xml:space="preserve">  Credit Balance</v>
          </cell>
          <cell r="K5" t="str">
            <v>Net Balance</v>
          </cell>
        </row>
        <row r="7">
          <cell r="A7" t="str">
            <v>1000 1301113100</v>
          </cell>
          <cell r="C7">
            <v>1000</v>
          </cell>
          <cell r="D7">
            <v>1301113100</v>
          </cell>
          <cell r="E7" t="str">
            <v>I/C Aflac Japan</v>
          </cell>
          <cell r="G7">
            <v>0</v>
          </cell>
          <cell r="I7">
            <v>6323109.0999999996</v>
          </cell>
          <cell r="K7">
            <v>-6323109.0999999996</v>
          </cell>
        </row>
        <row r="8">
          <cell r="A8" t="str">
            <v>1000 1301120001</v>
          </cell>
          <cell r="C8">
            <v>1000</v>
          </cell>
          <cell r="D8">
            <v>1301120001</v>
          </cell>
          <cell r="E8" t="str">
            <v>I/C Rec Ccorp</v>
          </cell>
          <cell r="G8">
            <v>0</v>
          </cell>
          <cell r="I8">
            <v>0</v>
          </cell>
          <cell r="K8">
            <v>0</v>
          </cell>
        </row>
        <row r="9">
          <cell r="A9" t="str">
            <v>1000 1301080001</v>
          </cell>
          <cell r="C9">
            <v>1000</v>
          </cell>
          <cell r="D9">
            <v>1301080001</v>
          </cell>
          <cell r="E9" t="str">
            <v>I/CAFLACCol</v>
          </cell>
          <cell r="G9">
            <v>0</v>
          </cell>
          <cell r="I9">
            <v>0</v>
          </cell>
          <cell r="K9">
            <v>0</v>
          </cell>
        </row>
        <row r="10">
          <cell r="A10" t="str">
            <v>1000 1301080004</v>
          </cell>
          <cell r="C10">
            <v>1000</v>
          </cell>
          <cell r="D10">
            <v>1301080004</v>
          </cell>
          <cell r="E10" t="str">
            <v>I/CAflacGroup</v>
          </cell>
          <cell r="G10">
            <v>6564326</v>
          </cell>
          <cell r="I10">
            <v>0</v>
          </cell>
          <cell r="K10">
            <v>6564326</v>
          </cell>
        </row>
        <row r="11">
          <cell r="A11" t="str">
            <v>1000 1301150001</v>
          </cell>
          <cell r="C11">
            <v>1000</v>
          </cell>
          <cell r="D11">
            <v>1301150001</v>
          </cell>
          <cell r="E11" t="str">
            <v>I/CAflacInt'l</v>
          </cell>
          <cell r="G11">
            <v>147097689.50999999</v>
          </cell>
          <cell r="I11">
            <v>0</v>
          </cell>
          <cell r="K11">
            <v>147097689.50999999</v>
          </cell>
        </row>
        <row r="12">
          <cell r="A12" t="str">
            <v>1000 1301150002</v>
          </cell>
          <cell r="C12">
            <v>1000</v>
          </cell>
          <cell r="D12">
            <v>1301150002</v>
          </cell>
          <cell r="E12" t="str">
            <v>I/CAflacInt'lJapan</v>
          </cell>
          <cell r="G12">
            <v>0</v>
          </cell>
          <cell r="I12">
            <v>72328</v>
          </cell>
          <cell r="K12">
            <v>-72328</v>
          </cell>
        </row>
        <row r="13">
          <cell r="A13" t="str">
            <v>1000 1301120004</v>
          </cell>
          <cell r="C13">
            <v>1000</v>
          </cell>
          <cell r="D13">
            <v>1301120004</v>
          </cell>
          <cell r="E13" t="str">
            <v>I/CAFLACIT</v>
          </cell>
          <cell r="G13">
            <v>0</v>
          </cell>
          <cell r="I13">
            <v>0</v>
          </cell>
          <cell r="K13">
            <v>0</v>
          </cell>
        </row>
        <row r="14">
          <cell r="A14" t="str">
            <v>1000 1301100001</v>
          </cell>
          <cell r="C14">
            <v>1000</v>
          </cell>
          <cell r="D14">
            <v>1301100001</v>
          </cell>
          <cell r="E14" t="str">
            <v>I/CAFLACJapan</v>
          </cell>
          <cell r="G14">
            <v>0</v>
          </cell>
          <cell r="I14">
            <v>0</v>
          </cell>
          <cell r="K14">
            <v>0</v>
          </cell>
        </row>
        <row r="15">
          <cell r="A15" t="str">
            <v>1000 1301080003</v>
          </cell>
          <cell r="C15">
            <v>1000</v>
          </cell>
          <cell r="D15">
            <v>1301080003</v>
          </cell>
          <cell r="E15" t="str">
            <v>I/CAflacNY</v>
          </cell>
          <cell r="G15">
            <v>603678.5</v>
          </cell>
          <cell r="I15">
            <v>0</v>
          </cell>
          <cell r="K15">
            <v>603678.5</v>
          </cell>
        </row>
        <row r="16">
          <cell r="A16" t="str">
            <v>1000 1301080039</v>
          </cell>
          <cell r="C16">
            <v>1000</v>
          </cell>
          <cell r="D16">
            <v>1301080039</v>
          </cell>
          <cell r="E16" t="str">
            <v>I/CAFLGIHldgLLC</v>
          </cell>
          <cell r="G16">
            <v>0</v>
          </cell>
          <cell r="I16">
            <v>0</v>
          </cell>
          <cell r="K16">
            <v>0</v>
          </cell>
        </row>
        <row r="17">
          <cell r="A17" t="str">
            <v>1000 1301080040</v>
          </cell>
          <cell r="C17">
            <v>1000</v>
          </cell>
          <cell r="D17">
            <v>1301080040</v>
          </cell>
          <cell r="E17" t="str">
            <v>I/CCAICPFML</v>
          </cell>
          <cell r="G17">
            <v>887102</v>
          </cell>
          <cell r="I17">
            <v>0</v>
          </cell>
          <cell r="K17">
            <v>887102</v>
          </cell>
        </row>
        <row r="18">
          <cell r="A18" t="str">
            <v>1000 1301180002</v>
          </cell>
          <cell r="C18">
            <v>1000</v>
          </cell>
          <cell r="D18">
            <v>1301180002</v>
          </cell>
          <cell r="E18" t="str">
            <v>I/CColRetro(2450)</v>
          </cell>
          <cell r="G18">
            <v>402266</v>
          </cell>
          <cell r="I18">
            <v>0</v>
          </cell>
          <cell r="K18">
            <v>402266</v>
          </cell>
        </row>
        <row r="19">
          <cell r="A19" t="str">
            <v>1000 1301110004</v>
          </cell>
          <cell r="C19">
            <v>1000</v>
          </cell>
          <cell r="D19">
            <v>1301110004</v>
          </cell>
          <cell r="E19" t="str">
            <v>I/CoRecABS</v>
          </cell>
          <cell r="G19">
            <v>0</v>
          </cell>
          <cell r="I19">
            <v>0</v>
          </cell>
          <cell r="K19">
            <v>0</v>
          </cell>
        </row>
        <row r="20">
          <cell r="A20" t="str">
            <v>1000 2905028016</v>
          </cell>
          <cell r="C20">
            <v>1000</v>
          </cell>
          <cell r="D20">
            <v>2905028016</v>
          </cell>
          <cell r="E20" t="str">
            <v>I/CPay-AAMLLC</v>
          </cell>
          <cell r="G20">
            <v>0</v>
          </cell>
          <cell r="I20">
            <v>355877.72</v>
          </cell>
          <cell r="K20">
            <v>-355877.72</v>
          </cell>
        </row>
        <row r="21">
          <cell r="A21" t="str">
            <v>1000 2905028018</v>
          </cell>
          <cell r="C21">
            <v>1000</v>
          </cell>
          <cell r="D21">
            <v>2905028018</v>
          </cell>
          <cell r="E21" t="str">
            <v>I/CPay-AflaccorpVent</v>
          </cell>
          <cell r="G21">
            <v>0</v>
          </cell>
          <cell r="I21">
            <v>0</v>
          </cell>
          <cell r="K21">
            <v>0</v>
          </cell>
        </row>
        <row r="22">
          <cell r="A22" t="str">
            <v>1000 2905028013</v>
          </cell>
          <cell r="C22">
            <v>1000</v>
          </cell>
          <cell r="D22">
            <v>2905028013</v>
          </cell>
          <cell r="E22" t="str">
            <v>I/CPay-AflacVentures</v>
          </cell>
          <cell r="G22">
            <v>0</v>
          </cell>
          <cell r="I22">
            <v>609</v>
          </cell>
          <cell r="K22">
            <v>-609</v>
          </cell>
        </row>
        <row r="23">
          <cell r="A23" t="str">
            <v>1000 2905028021</v>
          </cell>
          <cell r="C23">
            <v>1000</v>
          </cell>
          <cell r="D23">
            <v>2905028021</v>
          </cell>
          <cell r="E23" t="str">
            <v>I/Cpay-AFLVentLab</v>
          </cell>
          <cell r="G23">
            <v>0</v>
          </cell>
          <cell r="I23">
            <v>609</v>
          </cell>
          <cell r="K23">
            <v>-609</v>
          </cell>
        </row>
        <row r="24">
          <cell r="A24" t="str">
            <v>1000 2905028020</v>
          </cell>
          <cell r="C24">
            <v>1000</v>
          </cell>
          <cell r="D24">
            <v>2905028020</v>
          </cell>
          <cell r="E24" t="str">
            <v>I/CPay-AFLVentSeedFd</v>
          </cell>
          <cell r="G24">
            <v>0</v>
          </cell>
          <cell r="I24">
            <v>609</v>
          </cell>
          <cell r="K24">
            <v>-609</v>
          </cell>
        </row>
        <row r="25">
          <cell r="A25" t="str">
            <v>1000 2905028028</v>
          </cell>
          <cell r="C25">
            <v>1000</v>
          </cell>
          <cell r="D25">
            <v>2905028028</v>
          </cell>
          <cell r="E25" t="str">
            <v>I/CPay-ArgusDen&amp;Vis</v>
          </cell>
          <cell r="G25">
            <v>0</v>
          </cell>
          <cell r="I25">
            <v>158916</v>
          </cell>
          <cell r="K25">
            <v>-158916</v>
          </cell>
        </row>
        <row r="26">
          <cell r="A26" t="str">
            <v>1000 2905028024</v>
          </cell>
          <cell r="C26">
            <v>1000</v>
          </cell>
          <cell r="D26">
            <v>2905028024</v>
          </cell>
          <cell r="E26" t="str">
            <v>I/Cpay-Empower.Insur</v>
          </cell>
          <cell r="G26">
            <v>0</v>
          </cell>
          <cell r="I26">
            <v>8763</v>
          </cell>
          <cell r="K26">
            <v>-8763</v>
          </cell>
        </row>
        <row r="27">
          <cell r="A27" t="str">
            <v>1000 2905028025</v>
          </cell>
          <cell r="C27">
            <v>1000</v>
          </cell>
          <cell r="D27">
            <v>2905028025</v>
          </cell>
          <cell r="E27" t="str">
            <v>I/CPay-InfoSecSvcs</v>
          </cell>
          <cell r="G27">
            <v>0</v>
          </cell>
          <cell r="I27">
            <v>0</v>
          </cell>
          <cell r="K27">
            <v>0</v>
          </cell>
        </row>
        <row r="28">
          <cell r="A28" t="str">
            <v>1000 2905028029</v>
          </cell>
          <cell r="C28">
            <v>1000</v>
          </cell>
          <cell r="D28">
            <v>2905028029</v>
          </cell>
          <cell r="E28" t="str">
            <v>I/CPay-Simple Tech</v>
          </cell>
          <cell r="G28">
            <v>0</v>
          </cell>
          <cell r="I28">
            <v>0</v>
          </cell>
          <cell r="K28">
            <v>0</v>
          </cell>
        </row>
        <row r="29">
          <cell r="A29" t="str">
            <v>1000 2905028015</v>
          </cell>
          <cell r="C29">
            <v>1000</v>
          </cell>
          <cell r="D29">
            <v>2905028015</v>
          </cell>
          <cell r="E29" t="str">
            <v>I/CPay-TOIC</v>
          </cell>
          <cell r="G29">
            <v>0</v>
          </cell>
          <cell r="I29">
            <v>445405</v>
          </cell>
          <cell r="K29">
            <v>-445405</v>
          </cell>
        </row>
        <row r="30">
          <cell r="A30" t="str">
            <v>1000 2905028014</v>
          </cell>
          <cell r="C30">
            <v>1000</v>
          </cell>
          <cell r="D30">
            <v>2905028014</v>
          </cell>
          <cell r="E30" t="str">
            <v>I/CPayNLAC/Aflac Col</v>
          </cell>
          <cell r="G30">
            <v>0</v>
          </cell>
          <cell r="I30">
            <v>8572162.6500000004</v>
          </cell>
          <cell r="K30">
            <v>-8572162.6500000004</v>
          </cell>
        </row>
        <row r="31">
          <cell r="A31" t="str">
            <v>1000 1301080022</v>
          </cell>
          <cell r="C31">
            <v>1000</v>
          </cell>
          <cell r="D31">
            <v>1301080022</v>
          </cell>
          <cell r="E31" t="str">
            <v>I/CRec-AAMLLC</v>
          </cell>
          <cell r="G31">
            <v>3728854.14</v>
          </cell>
          <cell r="I31">
            <v>0</v>
          </cell>
          <cell r="K31">
            <v>3728854.14</v>
          </cell>
        </row>
        <row r="32">
          <cell r="A32" t="str">
            <v>1000 1301080018</v>
          </cell>
          <cell r="C32">
            <v>1000</v>
          </cell>
          <cell r="D32">
            <v>1301080018</v>
          </cell>
          <cell r="E32" t="str">
            <v>I/CRec-AflacCorpVent</v>
          </cell>
          <cell r="G32">
            <v>44284</v>
          </cell>
          <cell r="I32">
            <v>0</v>
          </cell>
          <cell r="K32">
            <v>44284</v>
          </cell>
        </row>
        <row r="33">
          <cell r="A33" t="str">
            <v>1000 1301080020</v>
          </cell>
          <cell r="C33">
            <v>1000</v>
          </cell>
          <cell r="D33">
            <v>1301080020</v>
          </cell>
          <cell r="E33" t="str">
            <v>I/CRec-AflacUS/Col</v>
          </cell>
          <cell r="G33">
            <v>4539089.0999999996</v>
          </cell>
          <cell r="I33">
            <v>0</v>
          </cell>
          <cell r="K33">
            <v>4539089.0999999996</v>
          </cell>
        </row>
        <row r="34">
          <cell r="A34" t="str">
            <v>1000 1301080026</v>
          </cell>
          <cell r="C34">
            <v>1000</v>
          </cell>
          <cell r="D34">
            <v>1301080026</v>
          </cell>
          <cell r="E34" t="str">
            <v>I/CRec-AFLVentLab</v>
          </cell>
          <cell r="G34">
            <v>0</v>
          </cell>
          <cell r="I34">
            <v>0</v>
          </cell>
          <cell r="K34">
            <v>0</v>
          </cell>
        </row>
        <row r="35">
          <cell r="A35" t="str">
            <v>1000 1301080025</v>
          </cell>
          <cell r="C35">
            <v>1000</v>
          </cell>
          <cell r="D35">
            <v>1301080025</v>
          </cell>
          <cell r="E35" t="str">
            <v>I/CRec-AFLVentSeedFd</v>
          </cell>
          <cell r="G35">
            <v>6165.8</v>
          </cell>
          <cell r="I35">
            <v>0</v>
          </cell>
          <cell r="K35">
            <v>6165.8</v>
          </cell>
        </row>
        <row r="36">
          <cell r="A36" t="str">
            <v>1000 1301080033</v>
          </cell>
          <cell r="C36">
            <v>1000</v>
          </cell>
          <cell r="D36">
            <v>1301080033</v>
          </cell>
          <cell r="E36" t="str">
            <v>I/CRec-ArgusDen&amp;Vis</v>
          </cell>
          <cell r="G36">
            <v>26537</v>
          </cell>
          <cell r="I36">
            <v>0</v>
          </cell>
          <cell r="K36">
            <v>26537</v>
          </cell>
        </row>
        <row r="37">
          <cell r="A37" t="str">
            <v>1000 1301080037</v>
          </cell>
          <cell r="C37">
            <v>1000</v>
          </cell>
          <cell r="D37">
            <v>1301080037</v>
          </cell>
          <cell r="E37" t="str">
            <v>I/CRec-AVIF</v>
          </cell>
          <cell r="G37">
            <v>0</v>
          </cell>
          <cell r="I37">
            <v>0</v>
          </cell>
          <cell r="K37">
            <v>0</v>
          </cell>
        </row>
        <row r="38">
          <cell r="A38" t="str">
            <v>1000 1301080029</v>
          </cell>
          <cell r="C38">
            <v>1000</v>
          </cell>
          <cell r="D38">
            <v>1301080029</v>
          </cell>
          <cell r="E38" t="str">
            <v>I/CRec-Empower.Insur</v>
          </cell>
          <cell r="G38">
            <v>43160.87</v>
          </cell>
          <cell r="I38">
            <v>0</v>
          </cell>
          <cell r="K38">
            <v>43160.87</v>
          </cell>
        </row>
        <row r="39">
          <cell r="A39" t="str">
            <v>1000 1301080030</v>
          </cell>
          <cell r="C39">
            <v>1000</v>
          </cell>
          <cell r="D39">
            <v>1301080030</v>
          </cell>
          <cell r="E39" t="str">
            <v>I/CRec-InfoSecSvcs</v>
          </cell>
          <cell r="G39">
            <v>0</v>
          </cell>
          <cell r="I39">
            <v>0</v>
          </cell>
          <cell r="K39">
            <v>0</v>
          </cell>
        </row>
        <row r="40">
          <cell r="A40" t="str">
            <v>1000 1301080034</v>
          </cell>
          <cell r="C40">
            <v>1000</v>
          </cell>
          <cell r="D40">
            <v>1301080034</v>
          </cell>
          <cell r="E40" t="str">
            <v>I/CRec-Simple Tech</v>
          </cell>
          <cell r="G40">
            <v>0</v>
          </cell>
          <cell r="I40">
            <v>0</v>
          </cell>
          <cell r="K40">
            <v>0</v>
          </cell>
        </row>
        <row r="41">
          <cell r="A41" t="str">
            <v>1000 1301080021</v>
          </cell>
          <cell r="C41">
            <v>1000</v>
          </cell>
          <cell r="D41">
            <v>1301080021</v>
          </cell>
          <cell r="E41" t="str">
            <v>I/CRec-TOIC</v>
          </cell>
          <cell r="G41">
            <v>525253</v>
          </cell>
          <cell r="I41">
            <v>0</v>
          </cell>
          <cell r="K41">
            <v>525253</v>
          </cell>
        </row>
        <row r="42">
          <cell r="A42" t="str">
            <v>1000 1301080023</v>
          </cell>
          <cell r="C42">
            <v>1000</v>
          </cell>
          <cell r="D42">
            <v>1301080023</v>
          </cell>
          <cell r="E42" t="str">
            <v>I/CRecAHLLC</v>
          </cell>
          <cell r="G42">
            <v>168100</v>
          </cell>
          <cell r="I42">
            <v>0</v>
          </cell>
          <cell r="K42">
            <v>168100</v>
          </cell>
        </row>
        <row r="43">
          <cell r="A43" t="str">
            <v>1000 1301080017</v>
          </cell>
          <cell r="C43">
            <v>1000</v>
          </cell>
          <cell r="D43">
            <v>1301080017</v>
          </cell>
          <cell r="E43" t="str">
            <v>I/CRecEB(1510)</v>
          </cell>
          <cell r="G43">
            <v>0</v>
          </cell>
          <cell r="I43">
            <v>0</v>
          </cell>
          <cell r="K43">
            <v>0</v>
          </cell>
        </row>
        <row r="44">
          <cell r="A44" t="str">
            <v>1000 2905028008</v>
          </cell>
          <cell r="C44">
            <v>1000</v>
          </cell>
          <cell r="D44">
            <v>2905028008</v>
          </cell>
          <cell r="E44" t="str">
            <v>ICPayCcorpOrders</v>
          </cell>
          <cell r="G44">
            <v>0</v>
          </cell>
          <cell r="I44">
            <v>57684.85</v>
          </cell>
          <cell r="K44">
            <v>-57684.85</v>
          </cell>
        </row>
        <row r="45">
          <cell r="A45" t="str">
            <v>1000 2905033100</v>
          </cell>
          <cell r="C45">
            <v>1000</v>
          </cell>
          <cell r="D45">
            <v>2905033100</v>
          </cell>
          <cell r="E45" t="str">
            <v>ICPayTo Aflac Japan</v>
          </cell>
          <cell r="G45">
            <v>0</v>
          </cell>
          <cell r="I45">
            <v>0</v>
          </cell>
          <cell r="K45">
            <v>0</v>
          </cell>
        </row>
        <row r="46">
          <cell r="A46" t="str">
            <v>1000 2905021011</v>
          </cell>
          <cell r="C46">
            <v>1000</v>
          </cell>
          <cell r="D46">
            <v>2905021011</v>
          </cell>
          <cell r="E46" t="str">
            <v>ICPayToAflColAllcExp</v>
          </cell>
          <cell r="G46">
            <v>0</v>
          </cell>
          <cell r="I46">
            <v>0</v>
          </cell>
          <cell r="K46">
            <v>0</v>
          </cell>
        </row>
        <row r="47">
          <cell r="A47" t="str">
            <v>1000 2905028034</v>
          </cell>
          <cell r="C47">
            <v>1000</v>
          </cell>
          <cell r="D47">
            <v>2905028034</v>
          </cell>
          <cell r="E47" t="str">
            <v>ICPayToAflGIHldgLLC</v>
          </cell>
          <cell r="G47">
            <v>45016962.5</v>
          </cell>
          <cell r="I47">
            <v>0</v>
          </cell>
          <cell r="K47">
            <v>45016962.5</v>
          </cell>
        </row>
        <row r="48">
          <cell r="A48" t="str">
            <v>1000 2905024001</v>
          </cell>
          <cell r="C48">
            <v>1000</v>
          </cell>
          <cell r="D48">
            <v>2905024001</v>
          </cell>
          <cell r="E48" t="str">
            <v>ICPayToAflIntlUS</v>
          </cell>
          <cell r="G48">
            <v>0</v>
          </cell>
          <cell r="I48">
            <v>145520385.75</v>
          </cell>
          <cell r="K48">
            <v>-145520385.75</v>
          </cell>
        </row>
        <row r="49">
          <cell r="A49" t="str">
            <v>1000 2905031001</v>
          </cell>
          <cell r="C49">
            <v>1000</v>
          </cell>
          <cell r="D49">
            <v>2905031001</v>
          </cell>
          <cell r="E49" t="str">
            <v>ICPayToAflJap</v>
          </cell>
          <cell r="G49">
            <v>0</v>
          </cell>
          <cell r="I49">
            <v>0</v>
          </cell>
          <cell r="K49">
            <v>0</v>
          </cell>
        </row>
        <row r="50">
          <cell r="A50" t="str">
            <v>1000 2905022005</v>
          </cell>
          <cell r="C50">
            <v>1000</v>
          </cell>
          <cell r="D50">
            <v>2905022005</v>
          </cell>
          <cell r="E50" t="str">
            <v>ICPayToAflNY</v>
          </cell>
          <cell r="G50">
            <v>0</v>
          </cell>
          <cell r="I50">
            <v>415143.78</v>
          </cell>
          <cell r="K50">
            <v>-415143.78</v>
          </cell>
        </row>
        <row r="51">
          <cell r="A51" t="str">
            <v>1000 2905028010</v>
          </cell>
          <cell r="C51">
            <v>1000</v>
          </cell>
          <cell r="D51">
            <v>2905028010</v>
          </cell>
          <cell r="E51" t="str">
            <v>ICPayToAGI(2550)</v>
          </cell>
          <cell r="G51">
            <v>54213.8</v>
          </cell>
          <cell r="I51">
            <v>0</v>
          </cell>
          <cell r="K51">
            <v>54213.8</v>
          </cell>
        </row>
        <row r="52">
          <cell r="A52" t="str">
            <v>1000 2905028003</v>
          </cell>
          <cell r="C52">
            <v>1000</v>
          </cell>
          <cell r="D52">
            <v>2905028003</v>
          </cell>
          <cell r="E52" t="str">
            <v>ICPayToAITPay</v>
          </cell>
          <cell r="G52">
            <v>0</v>
          </cell>
          <cell r="I52">
            <v>10</v>
          </cell>
          <cell r="K52">
            <v>-10</v>
          </cell>
        </row>
        <row r="53">
          <cell r="A53" t="str">
            <v>1000 2905028035</v>
          </cell>
          <cell r="C53">
            <v>1000</v>
          </cell>
          <cell r="D53">
            <v>2905028035</v>
          </cell>
          <cell r="E53" t="str">
            <v>ICPayToCAICPFML</v>
          </cell>
          <cell r="G53">
            <v>0</v>
          </cell>
          <cell r="I53">
            <v>0</v>
          </cell>
          <cell r="K53">
            <v>0</v>
          </cell>
        </row>
        <row r="54">
          <cell r="A54" t="str">
            <v>1000 2905036002</v>
          </cell>
          <cell r="C54">
            <v>1000</v>
          </cell>
          <cell r="D54">
            <v>2905036002</v>
          </cell>
          <cell r="E54" t="str">
            <v>ICPayToColRtr(2450)</v>
          </cell>
          <cell r="G54">
            <v>0</v>
          </cell>
          <cell r="I54">
            <v>155784</v>
          </cell>
          <cell r="K54">
            <v>-155784</v>
          </cell>
        </row>
        <row r="55">
          <cell r="A55" t="str">
            <v>1000 2905028001</v>
          </cell>
          <cell r="C55">
            <v>1000</v>
          </cell>
          <cell r="D55">
            <v>2905028001</v>
          </cell>
          <cell r="E55" t="str">
            <v>ICToAflGroup</v>
          </cell>
          <cell r="G55">
            <v>0</v>
          </cell>
          <cell r="I55">
            <v>396974</v>
          </cell>
          <cell r="K55">
            <v>-396974</v>
          </cell>
        </row>
        <row r="56">
          <cell r="A56" t="str">
            <v>1000 1301080027</v>
          </cell>
          <cell r="C56">
            <v>1000</v>
          </cell>
          <cell r="D56">
            <v>1301080027</v>
          </cell>
          <cell r="E56" t="str">
            <v>Interco Rec NIO</v>
          </cell>
          <cell r="G56">
            <v>0</v>
          </cell>
          <cell r="I56">
            <v>0</v>
          </cell>
          <cell r="K56">
            <v>0</v>
          </cell>
        </row>
        <row r="57">
          <cell r="A57" t="str">
            <v>1000 2905028036</v>
          </cell>
          <cell r="C57">
            <v>1000</v>
          </cell>
          <cell r="D57">
            <v>2905028036</v>
          </cell>
          <cell r="E57" t="str">
            <v>IntercoPay AflacReBe</v>
          </cell>
          <cell r="G57">
            <v>0</v>
          </cell>
          <cell r="I57">
            <v>0</v>
          </cell>
          <cell r="K57">
            <v>0</v>
          </cell>
        </row>
        <row r="58">
          <cell r="A58" t="str">
            <v>1000 1301080041</v>
          </cell>
          <cell r="C58">
            <v>1000</v>
          </cell>
          <cell r="D58">
            <v>1301080041</v>
          </cell>
          <cell r="E58" t="str">
            <v>IntercoRec AflacReBe</v>
          </cell>
          <cell r="G58">
            <v>55602.47</v>
          </cell>
          <cell r="I58">
            <v>0</v>
          </cell>
          <cell r="K58">
            <v>55602.47</v>
          </cell>
        </row>
        <row r="59">
          <cell r="A59" t="str">
            <v>1012 1301110001</v>
          </cell>
          <cell r="C59">
            <v>1012</v>
          </cell>
          <cell r="D59">
            <v>1301110001</v>
          </cell>
          <cell r="E59" t="str">
            <v>I/CInc</v>
          </cell>
          <cell r="G59">
            <v>0</v>
          </cell>
          <cell r="I59">
            <v>45016962.5</v>
          </cell>
          <cell r="K59">
            <v>-45016962.5</v>
          </cell>
        </row>
        <row r="60">
          <cell r="A60" t="str">
            <v>1012 2905028016</v>
          </cell>
          <cell r="C60">
            <v>1012</v>
          </cell>
          <cell r="D60">
            <v>2905028016</v>
          </cell>
          <cell r="E60" t="str">
            <v>I/CPay-AAMLLC</v>
          </cell>
          <cell r="G60">
            <v>43917701.380000003</v>
          </cell>
          <cell r="I60">
            <v>0</v>
          </cell>
          <cell r="K60">
            <v>43917701.380000003</v>
          </cell>
        </row>
        <row r="61">
          <cell r="A61" t="str">
            <v>1012 2905010001</v>
          </cell>
          <cell r="C61">
            <v>1012</v>
          </cell>
          <cell r="D61">
            <v>2905010001</v>
          </cell>
          <cell r="E61" t="str">
            <v>ICPayToAflInc</v>
          </cell>
          <cell r="G61">
            <v>0</v>
          </cell>
          <cell r="I61">
            <v>0</v>
          </cell>
          <cell r="K61">
            <v>0</v>
          </cell>
        </row>
        <row r="62">
          <cell r="A62" t="str">
            <v>1100 1301113100</v>
          </cell>
          <cell r="C62">
            <v>1100</v>
          </cell>
          <cell r="D62">
            <v>1301113100</v>
          </cell>
          <cell r="E62" t="str">
            <v>I/C Aflac Japan</v>
          </cell>
          <cell r="G62">
            <v>429442.31</v>
          </cell>
          <cell r="I62">
            <v>0</v>
          </cell>
          <cell r="K62">
            <v>429442.31</v>
          </cell>
        </row>
        <row r="63">
          <cell r="A63" t="str">
            <v>1100 1301150002</v>
          </cell>
          <cell r="C63">
            <v>1100</v>
          </cell>
          <cell r="D63">
            <v>1301150002</v>
          </cell>
          <cell r="E63" t="str">
            <v>I/CAflacInt'lJapan</v>
          </cell>
          <cell r="G63">
            <v>0</v>
          </cell>
          <cell r="I63">
            <v>381840.5</v>
          </cell>
          <cell r="K63">
            <v>-381840.5</v>
          </cell>
        </row>
        <row r="64">
          <cell r="A64" t="str">
            <v>1100 1301100001</v>
          </cell>
          <cell r="C64">
            <v>1100</v>
          </cell>
          <cell r="D64">
            <v>1301100001</v>
          </cell>
          <cell r="E64" t="str">
            <v>I/CAFLACJapan</v>
          </cell>
          <cell r="G64">
            <v>254684.43</v>
          </cell>
          <cell r="I64">
            <v>0</v>
          </cell>
          <cell r="K64">
            <v>254684.43</v>
          </cell>
        </row>
        <row r="65">
          <cell r="A65" t="str">
            <v>1100 1301150005</v>
          </cell>
          <cell r="C65">
            <v>1100</v>
          </cell>
          <cell r="D65">
            <v>1301150005</v>
          </cell>
          <cell r="E65" t="str">
            <v>I/CAIJBPerm</v>
          </cell>
          <cell r="G65">
            <v>1938360</v>
          </cell>
          <cell r="I65">
            <v>0</v>
          </cell>
          <cell r="K65">
            <v>1938360</v>
          </cell>
        </row>
        <row r="66">
          <cell r="A66" t="str">
            <v>1100 1301120003</v>
          </cell>
          <cell r="C66">
            <v>1100</v>
          </cell>
          <cell r="D66">
            <v>1301120003</v>
          </cell>
          <cell r="E66" t="str">
            <v>I/CDuckGearOrders</v>
          </cell>
          <cell r="G66">
            <v>0</v>
          </cell>
          <cell r="I66">
            <v>0</v>
          </cell>
          <cell r="K66">
            <v>0</v>
          </cell>
        </row>
        <row r="67">
          <cell r="A67" t="str">
            <v>1100 1301110001</v>
          </cell>
          <cell r="C67">
            <v>1100</v>
          </cell>
          <cell r="D67">
            <v>1301110001</v>
          </cell>
          <cell r="E67" t="str">
            <v>I/CInc</v>
          </cell>
          <cell r="G67">
            <v>145520385.75</v>
          </cell>
          <cell r="I67">
            <v>0</v>
          </cell>
          <cell r="K67">
            <v>145520385.75</v>
          </cell>
        </row>
        <row r="68">
          <cell r="A68" t="str">
            <v>1100 2905028016</v>
          </cell>
          <cell r="C68">
            <v>1100</v>
          </cell>
          <cell r="D68">
            <v>2905028016</v>
          </cell>
          <cell r="E68" t="str">
            <v>I/CPay-AAMLLC</v>
          </cell>
          <cell r="G68">
            <v>0</v>
          </cell>
          <cell r="I68">
            <v>27027.81</v>
          </cell>
          <cell r="K68">
            <v>-27027.81</v>
          </cell>
        </row>
        <row r="69">
          <cell r="A69" t="str">
            <v>1100 2905028014</v>
          </cell>
          <cell r="C69">
            <v>1100</v>
          </cell>
          <cell r="D69">
            <v>2905028014</v>
          </cell>
          <cell r="E69" t="str">
            <v>I/CPayNLAC/Aflac Col</v>
          </cell>
          <cell r="G69">
            <v>0</v>
          </cell>
          <cell r="I69">
            <v>25842.59</v>
          </cell>
          <cell r="K69">
            <v>-25842.59</v>
          </cell>
        </row>
        <row r="70">
          <cell r="A70" t="str">
            <v>1100 1301080022</v>
          </cell>
          <cell r="C70">
            <v>1100</v>
          </cell>
          <cell r="D70">
            <v>1301080022</v>
          </cell>
          <cell r="E70" t="str">
            <v>I/CRec-AAMLLC</v>
          </cell>
          <cell r="G70">
            <v>8219.73</v>
          </cell>
          <cell r="I70">
            <v>0</v>
          </cell>
          <cell r="K70">
            <v>8219.73</v>
          </cell>
        </row>
        <row r="71">
          <cell r="A71" t="str">
            <v>1100 1301080020</v>
          </cell>
          <cell r="C71">
            <v>1100</v>
          </cell>
          <cell r="D71">
            <v>1301080020</v>
          </cell>
          <cell r="E71" t="str">
            <v>I/CRec-AflacUS/Col</v>
          </cell>
          <cell r="G71">
            <v>3276.32</v>
          </cell>
          <cell r="I71">
            <v>0</v>
          </cell>
          <cell r="K71">
            <v>3276.32</v>
          </cell>
        </row>
        <row r="72">
          <cell r="A72" t="str">
            <v>1100 1301080023</v>
          </cell>
          <cell r="C72">
            <v>1100</v>
          </cell>
          <cell r="D72">
            <v>1301080023</v>
          </cell>
          <cell r="E72" t="str">
            <v>I/CRecAHLLC</v>
          </cell>
          <cell r="G72">
            <v>326499.28999999998</v>
          </cell>
          <cell r="I72">
            <v>0</v>
          </cell>
          <cell r="K72">
            <v>326499.28999999998</v>
          </cell>
        </row>
        <row r="73">
          <cell r="A73" t="str">
            <v>1100 2905028008</v>
          </cell>
          <cell r="C73">
            <v>1100</v>
          </cell>
          <cell r="D73">
            <v>2905028008</v>
          </cell>
          <cell r="E73" t="str">
            <v>ICPayCcorpOrders</v>
          </cell>
          <cell r="G73">
            <v>0</v>
          </cell>
          <cell r="I73">
            <v>0</v>
          </cell>
          <cell r="K73">
            <v>0</v>
          </cell>
        </row>
        <row r="74">
          <cell r="A74" t="str">
            <v>1100 2905010001</v>
          </cell>
          <cell r="C74">
            <v>1100</v>
          </cell>
          <cell r="D74">
            <v>2905010001</v>
          </cell>
          <cell r="E74" t="str">
            <v>ICPayToAflInc</v>
          </cell>
          <cell r="G74">
            <v>0</v>
          </cell>
          <cell r="I74">
            <v>147097689.50999999</v>
          </cell>
          <cell r="K74">
            <v>-147097689.50999999</v>
          </cell>
        </row>
        <row r="75">
          <cell r="A75" t="str">
            <v>1120 1301113100</v>
          </cell>
          <cell r="C75">
            <v>1120</v>
          </cell>
          <cell r="D75">
            <v>1301113100</v>
          </cell>
          <cell r="E75" t="str">
            <v>I/C Aflac Japan</v>
          </cell>
          <cell r="G75">
            <v>0</v>
          </cell>
          <cell r="I75">
            <v>0</v>
          </cell>
          <cell r="K75">
            <v>0</v>
          </cell>
        </row>
        <row r="76">
          <cell r="A76" t="str">
            <v>1120 1301150002</v>
          </cell>
          <cell r="C76">
            <v>1120</v>
          </cell>
          <cell r="D76">
            <v>1301150002</v>
          </cell>
          <cell r="E76" t="str">
            <v>I/CAflacInt'lJapan</v>
          </cell>
          <cell r="G76">
            <v>0</v>
          </cell>
          <cell r="I76">
            <v>0</v>
          </cell>
          <cell r="K76">
            <v>0</v>
          </cell>
        </row>
        <row r="77">
          <cell r="A77" t="str">
            <v>1120 1301100001</v>
          </cell>
          <cell r="C77">
            <v>1120</v>
          </cell>
          <cell r="D77">
            <v>1301100001</v>
          </cell>
          <cell r="E77" t="str">
            <v>I/CAFLACJapan</v>
          </cell>
          <cell r="G77">
            <v>0</v>
          </cell>
          <cell r="I77">
            <v>3873503</v>
          </cell>
          <cell r="K77">
            <v>-3873503</v>
          </cell>
        </row>
        <row r="78">
          <cell r="A78" t="str">
            <v>1120 1301140001</v>
          </cell>
          <cell r="C78">
            <v>1120</v>
          </cell>
          <cell r="D78">
            <v>1301140001</v>
          </cell>
          <cell r="E78" t="str">
            <v>I/CAPS</v>
          </cell>
          <cell r="G78">
            <v>887382</v>
          </cell>
          <cell r="I78">
            <v>0</v>
          </cell>
          <cell r="K78">
            <v>887382</v>
          </cell>
        </row>
        <row r="79">
          <cell r="A79" t="str">
            <v>1120 2905033100</v>
          </cell>
          <cell r="C79">
            <v>1120</v>
          </cell>
          <cell r="D79">
            <v>2905033100</v>
          </cell>
          <cell r="E79" t="str">
            <v>ICPayTo Aflac Japan</v>
          </cell>
          <cell r="G79">
            <v>0</v>
          </cell>
          <cell r="I79">
            <v>0</v>
          </cell>
          <cell r="K79">
            <v>0</v>
          </cell>
        </row>
        <row r="80">
          <cell r="A80" t="str">
            <v>1120 2905031001</v>
          </cell>
          <cell r="C80">
            <v>1120</v>
          </cell>
          <cell r="D80">
            <v>2905031001</v>
          </cell>
          <cell r="E80" t="str">
            <v>ICPayToAflJap</v>
          </cell>
          <cell r="G80">
            <v>0</v>
          </cell>
          <cell r="I80">
            <v>0</v>
          </cell>
          <cell r="K80">
            <v>0</v>
          </cell>
        </row>
        <row r="81">
          <cell r="A81" t="str">
            <v>1130 1301113100</v>
          </cell>
          <cell r="C81">
            <v>1130</v>
          </cell>
          <cell r="D81">
            <v>1301113100</v>
          </cell>
          <cell r="E81" t="str">
            <v>I/C Aflac Japan</v>
          </cell>
          <cell r="G81">
            <v>0</v>
          </cell>
          <cell r="I81">
            <v>16182823</v>
          </cell>
          <cell r="K81">
            <v>-16182823</v>
          </cell>
        </row>
        <row r="82">
          <cell r="A82" t="str">
            <v>1130 1301130003</v>
          </cell>
          <cell r="C82">
            <v>1130</v>
          </cell>
          <cell r="D82">
            <v>1301130003</v>
          </cell>
          <cell r="E82" t="str">
            <v>I/C LT Loan</v>
          </cell>
          <cell r="G82">
            <v>0</v>
          </cell>
          <cell r="I82">
            <v>0</v>
          </cell>
          <cell r="K82">
            <v>0</v>
          </cell>
        </row>
        <row r="83">
          <cell r="A83" t="str">
            <v>1130 1301150002</v>
          </cell>
          <cell r="C83">
            <v>1130</v>
          </cell>
          <cell r="D83">
            <v>1301150002</v>
          </cell>
          <cell r="E83" t="str">
            <v>I/CAflacInt'lJapan</v>
          </cell>
          <cell r="G83">
            <v>320</v>
          </cell>
          <cell r="I83">
            <v>0</v>
          </cell>
          <cell r="K83">
            <v>320</v>
          </cell>
        </row>
        <row r="84">
          <cell r="A84" t="str">
            <v>1130 1301100001</v>
          </cell>
          <cell r="C84">
            <v>1130</v>
          </cell>
          <cell r="D84">
            <v>1301100001</v>
          </cell>
          <cell r="E84" t="str">
            <v>I/CAFLACJapan</v>
          </cell>
          <cell r="G84">
            <v>0</v>
          </cell>
          <cell r="I84">
            <v>82665</v>
          </cell>
          <cell r="K84">
            <v>-82665</v>
          </cell>
        </row>
        <row r="85">
          <cell r="A85" t="str">
            <v>1130 1301160001</v>
          </cell>
          <cell r="C85">
            <v>1130</v>
          </cell>
          <cell r="D85">
            <v>1301160001</v>
          </cell>
          <cell r="E85" t="str">
            <v>I/CAflacTechS</v>
          </cell>
          <cell r="G85">
            <v>0</v>
          </cell>
          <cell r="I85">
            <v>0</v>
          </cell>
          <cell r="K85">
            <v>0</v>
          </cell>
        </row>
        <row r="86">
          <cell r="A86" t="str">
            <v>1130 1301170001</v>
          </cell>
          <cell r="C86">
            <v>1130</v>
          </cell>
          <cell r="D86">
            <v>1301170001</v>
          </cell>
          <cell r="E86" t="str">
            <v>I/CAHS</v>
          </cell>
          <cell r="G86">
            <v>0</v>
          </cell>
          <cell r="I86">
            <v>79367</v>
          </cell>
          <cell r="K86">
            <v>-79367</v>
          </cell>
        </row>
        <row r="87">
          <cell r="A87" t="str">
            <v>1130 1301130001</v>
          </cell>
          <cell r="C87">
            <v>1130</v>
          </cell>
          <cell r="D87">
            <v>1301130001</v>
          </cell>
          <cell r="E87" t="str">
            <v>I/CAIS</v>
          </cell>
          <cell r="G87">
            <v>0</v>
          </cell>
          <cell r="I87">
            <v>321760</v>
          </cell>
          <cell r="K87">
            <v>-321760</v>
          </cell>
        </row>
        <row r="88">
          <cell r="A88" t="str">
            <v>1130 2905033140</v>
          </cell>
          <cell r="C88">
            <v>1130</v>
          </cell>
          <cell r="D88">
            <v>2905033140</v>
          </cell>
          <cell r="E88" t="str">
            <v>I/CPayASI</v>
          </cell>
          <cell r="G88">
            <v>0</v>
          </cell>
          <cell r="I88">
            <v>8287385</v>
          </cell>
          <cell r="K88">
            <v>-8287385</v>
          </cell>
        </row>
        <row r="89">
          <cell r="A89" t="str">
            <v>1130 1301113140</v>
          </cell>
          <cell r="C89">
            <v>1130</v>
          </cell>
          <cell r="D89">
            <v>1301113140</v>
          </cell>
          <cell r="E89" t="str">
            <v>I/CRecASI</v>
          </cell>
          <cell r="G89">
            <v>31284</v>
          </cell>
          <cell r="I89">
            <v>0</v>
          </cell>
          <cell r="K89">
            <v>31284</v>
          </cell>
        </row>
        <row r="90">
          <cell r="A90" t="str">
            <v>1130 2905033100</v>
          </cell>
          <cell r="C90">
            <v>1130</v>
          </cell>
          <cell r="D90">
            <v>2905033100</v>
          </cell>
          <cell r="E90" t="str">
            <v>ICPayTo Aflac Japan</v>
          </cell>
          <cell r="G90">
            <v>0</v>
          </cell>
          <cell r="I90">
            <v>8252234122</v>
          </cell>
          <cell r="K90">
            <v>-8252234122</v>
          </cell>
        </row>
        <row r="91">
          <cell r="A91" t="str">
            <v>1130 2905031001</v>
          </cell>
          <cell r="C91">
            <v>1130</v>
          </cell>
          <cell r="D91">
            <v>2905031001</v>
          </cell>
          <cell r="E91" t="str">
            <v>ICPayToAflJap</v>
          </cell>
          <cell r="G91">
            <v>0</v>
          </cell>
          <cell r="I91">
            <v>0</v>
          </cell>
          <cell r="K91">
            <v>0</v>
          </cell>
        </row>
        <row r="92">
          <cell r="A92" t="str">
            <v>1150 1301113100</v>
          </cell>
          <cell r="C92">
            <v>1150</v>
          </cell>
          <cell r="D92">
            <v>1301113100</v>
          </cell>
          <cell r="E92" t="str">
            <v>I/C Aflac Japan</v>
          </cell>
          <cell r="G92">
            <v>0</v>
          </cell>
          <cell r="I92">
            <v>0</v>
          </cell>
          <cell r="K92">
            <v>0</v>
          </cell>
        </row>
        <row r="93">
          <cell r="A93" t="str">
            <v>1150 1301150001</v>
          </cell>
          <cell r="C93">
            <v>1150</v>
          </cell>
          <cell r="D93">
            <v>1301150001</v>
          </cell>
          <cell r="E93" t="str">
            <v>I/CAflacInt'l</v>
          </cell>
          <cell r="G93">
            <v>0</v>
          </cell>
          <cell r="I93">
            <v>0</v>
          </cell>
          <cell r="K93">
            <v>0</v>
          </cell>
        </row>
        <row r="94">
          <cell r="A94" t="str">
            <v>1150 1301100001</v>
          </cell>
          <cell r="C94">
            <v>1150</v>
          </cell>
          <cell r="D94">
            <v>1301100001</v>
          </cell>
          <cell r="E94" t="str">
            <v>I/CAFLACJapan</v>
          </cell>
          <cell r="G94">
            <v>0</v>
          </cell>
          <cell r="I94">
            <v>0</v>
          </cell>
          <cell r="K94">
            <v>0</v>
          </cell>
        </row>
        <row r="95">
          <cell r="A95" t="str">
            <v>1150 1301160001</v>
          </cell>
          <cell r="C95">
            <v>1150</v>
          </cell>
          <cell r="D95">
            <v>1301160001</v>
          </cell>
          <cell r="E95" t="str">
            <v>I/CAflacTechS</v>
          </cell>
          <cell r="G95">
            <v>0</v>
          </cell>
          <cell r="I95">
            <v>0</v>
          </cell>
          <cell r="K95">
            <v>0</v>
          </cell>
        </row>
        <row r="96">
          <cell r="A96" t="str">
            <v>1150 1301170001</v>
          </cell>
          <cell r="C96">
            <v>1150</v>
          </cell>
          <cell r="D96">
            <v>1301170001</v>
          </cell>
          <cell r="E96" t="str">
            <v>I/CAHS</v>
          </cell>
          <cell r="G96">
            <v>0</v>
          </cell>
          <cell r="I96">
            <v>0</v>
          </cell>
          <cell r="K96">
            <v>0</v>
          </cell>
        </row>
        <row r="97">
          <cell r="A97" t="str">
            <v>1150 1301130001</v>
          </cell>
          <cell r="C97">
            <v>1150</v>
          </cell>
          <cell r="D97">
            <v>1301130001</v>
          </cell>
          <cell r="E97" t="str">
            <v>I/CAIS</v>
          </cell>
          <cell r="G97">
            <v>0</v>
          </cell>
          <cell r="I97">
            <v>0</v>
          </cell>
          <cell r="K97">
            <v>0</v>
          </cell>
        </row>
        <row r="98">
          <cell r="A98" t="str">
            <v>1150 1301140001</v>
          </cell>
          <cell r="C98">
            <v>1150</v>
          </cell>
          <cell r="D98">
            <v>1301140001</v>
          </cell>
          <cell r="E98" t="str">
            <v>I/CAPS</v>
          </cell>
          <cell r="G98">
            <v>0</v>
          </cell>
          <cell r="I98">
            <v>0</v>
          </cell>
          <cell r="K98">
            <v>0</v>
          </cell>
        </row>
        <row r="99">
          <cell r="A99" t="str">
            <v>1150 1301110001</v>
          </cell>
          <cell r="C99">
            <v>1150</v>
          </cell>
          <cell r="D99">
            <v>1301110001</v>
          </cell>
          <cell r="E99" t="str">
            <v>I/CInc</v>
          </cell>
          <cell r="G99">
            <v>2744372</v>
          </cell>
          <cell r="I99">
            <v>0</v>
          </cell>
          <cell r="K99">
            <v>2744372</v>
          </cell>
        </row>
        <row r="100">
          <cell r="A100" t="str">
            <v>1150 1301160002</v>
          </cell>
          <cell r="C100">
            <v>1150</v>
          </cell>
          <cell r="D100">
            <v>1301160002</v>
          </cell>
          <cell r="E100" t="str">
            <v>I/CLoanATS</v>
          </cell>
          <cell r="G100">
            <v>0</v>
          </cell>
          <cell r="I100">
            <v>40000000</v>
          </cell>
          <cell r="K100">
            <v>-40000000</v>
          </cell>
        </row>
        <row r="101">
          <cell r="A101" t="str">
            <v>1150 1301080023</v>
          </cell>
          <cell r="C101">
            <v>1150</v>
          </cell>
          <cell r="D101">
            <v>1301080023</v>
          </cell>
          <cell r="E101" t="str">
            <v>I/CRecAHLLC</v>
          </cell>
          <cell r="G101">
            <v>28904233</v>
          </cell>
          <cell r="I101">
            <v>0</v>
          </cell>
          <cell r="K101">
            <v>28904233</v>
          </cell>
        </row>
        <row r="102">
          <cell r="A102" t="str">
            <v>1150 2905033100</v>
          </cell>
          <cell r="C102">
            <v>1150</v>
          </cell>
          <cell r="D102">
            <v>2905033100</v>
          </cell>
          <cell r="E102" t="str">
            <v>ICPayTo Aflac Japan</v>
          </cell>
          <cell r="G102">
            <v>0</v>
          </cell>
          <cell r="I102">
            <v>0</v>
          </cell>
          <cell r="K102">
            <v>0</v>
          </cell>
        </row>
        <row r="103">
          <cell r="A103" t="str">
            <v>1150 2905024001</v>
          </cell>
          <cell r="C103">
            <v>1150</v>
          </cell>
          <cell r="D103">
            <v>2905024001</v>
          </cell>
          <cell r="E103" t="str">
            <v>ICPayToAflIntlUS</v>
          </cell>
          <cell r="G103">
            <v>191987085</v>
          </cell>
          <cell r="I103">
            <v>0</v>
          </cell>
          <cell r="K103">
            <v>191987085</v>
          </cell>
        </row>
        <row r="104">
          <cell r="A104" t="str">
            <v>1150 2905031001</v>
          </cell>
          <cell r="C104">
            <v>1150</v>
          </cell>
          <cell r="D104">
            <v>2905031001</v>
          </cell>
          <cell r="E104" t="str">
            <v>ICPayToAflJap</v>
          </cell>
          <cell r="G104">
            <v>0</v>
          </cell>
          <cell r="I104">
            <v>0</v>
          </cell>
          <cell r="K104">
            <v>0</v>
          </cell>
        </row>
        <row r="105">
          <cell r="A105" t="str">
            <v>1150 2905032001</v>
          </cell>
          <cell r="C105">
            <v>1150</v>
          </cell>
          <cell r="D105">
            <v>2905032001</v>
          </cell>
          <cell r="E105" t="str">
            <v>ICPayToAIS</v>
          </cell>
          <cell r="G105">
            <v>0</v>
          </cell>
          <cell r="I105">
            <v>0</v>
          </cell>
          <cell r="K105">
            <v>0</v>
          </cell>
        </row>
        <row r="106">
          <cell r="A106" t="str">
            <v>1150 2905033001</v>
          </cell>
          <cell r="C106">
            <v>1150</v>
          </cell>
          <cell r="D106">
            <v>2905033001</v>
          </cell>
          <cell r="E106" t="str">
            <v>ICPayToAPS</v>
          </cell>
          <cell r="G106">
            <v>0</v>
          </cell>
          <cell r="I106">
            <v>0</v>
          </cell>
          <cell r="K106">
            <v>0</v>
          </cell>
        </row>
        <row r="107">
          <cell r="A107" t="str">
            <v>1190 1301113100</v>
          </cell>
          <cell r="C107">
            <v>1190</v>
          </cell>
          <cell r="D107">
            <v>1301113100</v>
          </cell>
          <cell r="E107" t="str">
            <v>I/C Aflac Japan</v>
          </cell>
          <cell r="G107">
            <v>0</v>
          </cell>
          <cell r="I107">
            <v>0</v>
          </cell>
          <cell r="K107">
            <v>0</v>
          </cell>
        </row>
        <row r="108">
          <cell r="A108" t="str">
            <v>1190 2905031001</v>
          </cell>
          <cell r="C108">
            <v>1190</v>
          </cell>
          <cell r="D108">
            <v>2905031001</v>
          </cell>
          <cell r="E108" t="str">
            <v>ICPayToAflJap</v>
          </cell>
          <cell r="G108">
            <v>0</v>
          </cell>
          <cell r="I108">
            <v>0</v>
          </cell>
          <cell r="K108">
            <v>0</v>
          </cell>
        </row>
        <row r="109">
          <cell r="A109" t="str">
            <v>1200 1301111250</v>
          </cell>
          <cell r="C109">
            <v>1200</v>
          </cell>
          <cell r="D109">
            <v>1301111250</v>
          </cell>
          <cell r="E109" t="str">
            <v>I/C Rec AAMJLTD</v>
          </cell>
          <cell r="G109">
            <v>373331.43</v>
          </cell>
          <cell r="I109">
            <v>0</v>
          </cell>
          <cell r="K109">
            <v>373331.43</v>
          </cell>
        </row>
        <row r="110">
          <cell r="A110" t="str">
            <v>1200 1301080004</v>
          </cell>
          <cell r="C110">
            <v>1200</v>
          </cell>
          <cell r="D110">
            <v>1301080004</v>
          </cell>
          <cell r="E110" t="str">
            <v>I/CAflacGroup</v>
          </cell>
          <cell r="G110">
            <v>0</v>
          </cell>
          <cell r="I110">
            <v>0</v>
          </cell>
          <cell r="K110">
            <v>0</v>
          </cell>
        </row>
        <row r="111">
          <cell r="A111" t="str">
            <v>1200 1301150001</v>
          </cell>
          <cell r="C111">
            <v>1200</v>
          </cell>
          <cell r="D111">
            <v>1301150001</v>
          </cell>
          <cell r="E111" t="str">
            <v>I/CAflacInt'l</v>
          </cell>
          <cell r="G111">
            <v>27027.81</v>
          </cell>
          <cell r="I111">
            <v>0</v>
          </cell>
          <cell r="K111">
            <v>27027.81</v>
          </cell>
        </row>
        <row r="112">
          <cell r="A112" t="str">
            <v>1200 1301080003</v>
          </cell>
          <cell r="C112">
            <v>1200</v>
          </cell>
          <cell r="D112">
            <v>1301080003</v>
          </cell>
          <cell r="E112" t="str">
            <v>I/CAflacNY</v>
          </cell>
          <cell r="G112">
            <v>37537.160000000003</v>
          </cell>
          <cell r="I112">
            <v>0</v>
          </cell>
          <cell r="K112">
            <v>37537.160000000003</v>
          </cell>
        </row>
        <row r="113">
          <cell r="A113" t="str">
            <v>1200 1301080039</v>
          </cell>
          <cell r="C113">
            <v>1200</v>
          </cell>
          <cell r="D113">
            <v>1301080039</v>
          </cell>
          <cell r="E113" t="str">
            <v>I/CAFLGIHldgLLC</v>
          </cell>
          <cell r="G113">
            <v>0</v>
          </cell>
          <cell r="I113">
            <v>43917701.380000003</v>
          </cell>
          <cell r="K113">
            <v>-43917701.380000003</v>
          </cell>
        </row>
        <row r="114">
          <cell r="A114" t="str">
            <v>1200 1301110001</v>
          </cell>
          <cell r="C114">
            <v>1200</v>
          </cell>
          <cell r="D114">
            <v>1301110001</v>
          </cell>
          <cell r="E114" t="str">
            <v>I/CInc</v>
          </cell>
          <cell r="G114">
            <v>355877.72</v>
          </cell>
          <cell r="I114">
            <v>0</v>
          </cell>
          <cell r="K114">
            <v>355877.72</v>
          </cell>
        </row>
        <row r="115">
          <cell r="A115" t="str">
            <v>1200 2905028014</v>
          </cell>
          <cell r="C115">
            <v>1200</v>
          </cell>
          <cell r="D115">
            <v>2905028014</v>
          </cell>
          <cell r="E115" t="str">
            <v>I/CPayNLAC/Aflac Col</v>
          </cell>
          <cell r="G115">
            <v>0</v>
          </cell>
          <cell r="I115">
            <v>245731.78</v>
          </cell>
          <cell r="K115">
            <v>-245731.78</v>
          </cell>
        </row>
        <row r="116">
          <cell r="A116" t="str">
            <v>1200 1301080020</v>
          </cell>
          <cell r="C116">
            <v>1200</v>
          </cell>
          <cell r="D116">
            <v>1301080020</v>
          </cell>
          <cell r="E116" t="str">
            <v>I/CRec-AflacUS/Col</v>
          </cell>
          <cell r="G116">
            <v>1690.01</v>
          </cell>
          <cell r="I116">
            <v>0</v>
          </cell>
          <cell r="K116">
            <v>1690.01</v>
          </cell>
        </row>
        <row r="117">
          <cell r="A117" t="str">
            <v>1200 1301080021</v>
          </cell>
          <cell r="C117">
            <v>1200</v>
          </cell>
          <cell r="D117">
            <v>1301080021</v>
          </cell>
          <cell r="E117" t="str">
            <v>I/CRec-TOIC</v>
          </cell>
          <cell r="G117">
            <v>0</v>
          </cell>
          <cell r="I117">
            <v>0</v>
          </cell>
          <cell r="K117">
            <v>0</v>
          </cell>
        </row>
        <row r="118">
          <cell r="A118" t="str">
            <v>1200 2905028008</v>
          </cell>
          <cell r="C118">
            <v>1200</v>
          </cell>
          <cell r="D118">
            <v>2905028008</v>
          </cell>
          <cell r="E118" t="str">
            <v>ICPayCcorpOrders</v>
          </cell>
          <cell r="G118">
            <v>0</v>
          </cell>
          <cell r="I118">
            <v>2352.9699999999998</v>
          </cell>
          <cell r="K118">
            <v>-2352.9699999999998</v>
          </cell>
        </row>
        <row r="119">
          <cell r="A119" t="str">
            <v>1200 2905010001</v>
          </cell>
          <cell r="C119">
            <v>1200</v>
          </cell>
          <cell r="D119">
            <v>2905010001</v>
          </cell>
          <cell r="E119" t="str">
            <v>ICPayToAflInc</v>
          </cell>
          <cell r="G119">
            <v>0</v>
          </cell>
          <cell r="I119">
            <v>3728854.14</v>
          </cell>
          <cell r="K119">
            <v>-3728854.14</v>
          </cell>
        </row>
        <row r="120">
          <cell r="A120" t="str">
            <v>1200 2905024001</v>
          </cell>
          <cell r="C120">
            <v>1200</v>
          </cell>
          <cell r="D120">
            <v>2905024001</v>
          </cell>
          <cell r="E120" t="str">
            <v>ICPayToAflIntlUS</v>
          </cell>
          <cell r="G120">
            <v>0</v>
          </cell>
          <cell r="I120">
            <v>8219.73</v>
          </cell>
          <cell r="K120">
            <v>-8219.73</v>
          </cell>
        </row>
        <row r="121">
          <cell r="A121" t="str">
            <v>1200 2905022005</v>
          </cell>
          <cell r="C121">
            <v>1200</v>
          </cell>
          <cell r="D121">
            <v>2905022005</v>
          </cell>
          <cell r="E121" t="str">
            <v>ICPayToAflNY</v>
          </cell>
          <cell r="G121">
            <v>0</v>
          </cell>
          <cell r="I121">
            <v>26139.08</v>
          </cell>
          <cell r="K121">
            <v>-26139.08</v>
          </cell>
        </row>
        <row r="122">
          <cell r="A122" t="str">
            <v>1200 2905028001</v>
          </cell>
          <cell r="C122">
            <v>1200</v>
          </cell>
          <cell r="D122">
            <v>2905028001</v>
          </cell>
          <cell r="E122" t="str">
            <v>ICToAflGroup</v>
          </cell>
          <cell r="G122">
            <v>0</v>
          </cell>
          <cell r="I122">
            <v>109685.88</v>
          </cell>
          <cell r="K122">
            <v>-109685.88</v>
          </cell>
        </row>
        <row r="123">
          <cell r="A123" t="str">
            <v>1200 1301080041</v>
          </cell>
          <cell r="C123">
            <v>1200</v>
          </cell>
          <cell r="D123">
            <v>1301080041</v>
          </cell>
          <cell r="E123" t="str">
            <v>IntercoRec AflacReBe</v>
          </cell>
          <cell r="G123">
            <v>614.09</v>
          </cell>
          <cell r="I123">
            <v>0</v>
          </cell>
          <cell r="K123">
            <v>614.09</v>
          </cell>
        </row>
        <row r="124">
          <cell r="A124" t="str">
            <v>1250 1301113100</v>
          </cell>
          <cell r="C124">
            <v>1250</v>
          </cell>
          <cell r="D124">
            <v>1301113100</v>
          </cell>
          <cell r="E124" t="str">
            <v>I/C Aflac Japan</v>
          </cell>
          <cell r="G124">
            <v>29331420</v>
          </cell>
          <cell r="I124">
            <v>0</v>
          </cell>
          <cell r="K124">
            <v>29331420</v>
          </cell>
        </row>
        <row r="125">
          <cell r="A125" t="str">
            <v>1250 1301100001</v>
          </cell>
          <cell r="C125">
            <v>1250</v>
          </cell>
          <cell r="D125">
            <v>1301100001</v>
          </cell>
          <cell r="E125" t="str">
            <v>I/CAFLACJapan</v>
          </cell>
          <cell r="G125">
            <v>0</v>
          </cell>
          <cell r="I125">
            <v>0</v>
          </cell>
          <cell r="K125">
            <v>0</v>
          </cell>
        </row>
        <row r="126">
          <cell r="A126" t="str">
            <v>1250 2905028016</v>
          </cell>
          <cell r="C126">
            <v>1250</v>
          </cell>
          <cell r="D126">
            <v>2905028016</v>
          </cell>
          <cell r="E126" t="str">
            <v>I/CPay-AAMLLC</v>
          </cell>
          <cell r="G126">
            <v>0</v>
          </cell>
          <cell r="I126">
            <v>2561794658</v>
          </cell>
          <cell r="K126">
            <v>-2561794658</v>
          </cell>
        </row>
        <row r="127">
          <cell r="A127" t="str">
            <v>1250 2905010001</v>
          </cell>
          <cell r="C127">
            <v>1250</v>
          </cell>
          <cell r="D127">
            <v>2905010001</v>
          </cell>
          <cell r="E127" t="str">
            <v>ICPayToAflInc</v>
          </cell>
          <cell r="G127">
            <v>118656955</v>
          </cell>
          <cell r="I127">
            <v>0</v>
          </cell>
          <cell r="K127">
            <v>118656955</v>
          </cell>
        </row>
        <row r="128">
          <cell r="A128" t="str">
            <v>1300 1301110001</v>
          </cell>
          <cell r="C128">
            <v>1300</v>
          </cell>
          <cell r="D128">
            <v>1301110001</v>
          </cell>
          <cell r="E128" t="str">
            <v>I/CInc</v>
          </cell>
          <cell r="G128">
            <v>0</v>
          </cell>
          <cell r="I128">
            <v>602.32000000000005</v>
          </cell>
          <cell r="K128">
            <v>-602.32000000000005</v>
          </cell>
        </row>
        <row r="129">
          <cell r="A129" t="str">
            <v>1300 2905028014</v>
          </cell>
          <cell r="C129">
            <v>1300</v>
          </cell>
          <cell r="D129">
            <v>2905028014</v>
          </cell>
          <cell r="E129" t="str">
            <v>I/CPayNLAC/Aflac Col</v>
          </cell>
          <cell r="G129">
            <v>45862.47</v>
          </cell>
          <cell r="I129">
            <v>0</v>
          </cell>
          <cell r="K129">
            <v>45862.47</v>
          </cell>
        </row>
        <row r="130">
          <cell r="A130" t="str">
            <v>1300 1301080020</v>
          </cell>
          <cell r="C130">
            <v>1300</v>
          </cell>
          <cell r="D130">
            <v>1301080020</v>
          </cell>
          <cell r="E130" t="str">
            <v>I/CRec-AflacUS/Col</v>
          </cell>
          <cell r="G130">
            <v>0</v>
          </cell>
          <cell r="I130">
            <v>0.01</v>
          </cell>
          <cell r="K130">
            <v>-0.01</v>
          </cell>
        </row>
        <row r="131">
          <cell r="A131" t="str">
            <v>1300 2905021008</v>
          </cell>
          <cell r="C131">
            <v>1300</v>
          </cell>
          <cell r="D131">
            <v>2905021008</v>
          </cell>
          <cell r="E131" t="str">
            <v>ICPayToAflacCol</v>
          </cell>
          <cell r="G131">
            <v>0</v>
          </cell>
          <cell r="I131">
            <v>0</v>
          </cell>
          <cell r="K131">
            <v>0</v>
          </cell>
        </row>
        <row r="132">
          <cell r="A132" t="str">
            <v>1300 2905010001</v>
          </cell>
          <cell r="C132">
            <v>1300</v>
          </cell>
          <cell r="D132">
            <v>2905010001</v>
          </cell>
          <cell r="E132" t="str">
            <v>ICPayToAflInc</v>
          </cell>
          <cell r="G132">
            <v>324848.51</v>
          </cell>
          <cell r="I132">
            <v>0</v>
          </cell>
          <cell r="K132">
            <v>324848.51</v>
          </cell>
        </row>
        <row r="133">
          <cell r="A133" t="str">
            <v>1300 2905028001</v>
          </cell>
          <cell r="C133">
            <v>1300</v>
          </cell>
          <cell r="D133">
            <v>2905028001</v>
          </cell>
          <cell r="E133" t="str">
            <v>ICToAflGroup</v>
          </cell>
          <cell r="G133">
            <v>0</v>
          </cell>
          <cell r="I133">
            <v>0</v>
          </cell>
          <cell r="K133">
            <v>0</v>
          </cell>
        </row>
        <row r="134">
          <cell r="A134" t="str">
            <v>1400 1301110001</v>
          </cell>
          <cell r="C134">
            <v>1400</v>
          </cell>
          <cell r="D134">
            <v>1301110001</v>
          </cell>
          <cell r="E134" t="str">
            <v>I/CInc</v>
          </cell>
          <cell r="G134">
            <v>10</v>
          </cell>
          <cell r="I134">
            <v>0</v>
          </cell>
          <cell r="K134">
            <v>10</v>
          </cell>
        </row>
        <row r="135">
          <cell r="A135" t="str">
            <v>1400 2905028029</v>
          </cell>
          <cell r="C135">
            <v>1400</v>
          </cell>
          <cell r="D135">
            <v>2905028029</v>
          </cell>
          <cell r="E135" t="str">
            <v>I/CPay-Simple Tech</v>
          </cell>
          <cell r="G135">
            <v>0</v>
          </cell>
          <cell r="I135">
            <v>0</v>
          </cell>
          <cell r="K135">
            <v>0</v>
          </cell>
        </row>
        <row r="136">
          <cell r="A136" t="str">
            <v>1400 2905028014</v>
          </cell>
          <cell r="C136">
            <v>1400</v>
          </cell>
          <cell r="D136">
            <v>2905028014</v>
          </cell>
          <cell r="E136" t="str">
            <v>I/CPayNLAC/Aflac Col</v>
          </cell>
          <cell r="G136">
            <v>0</v>
          </cell>
          <cell r="I136">
            <v>20836.36</v>
          </cell>
          <cell r="K136">
            <v>-20836.36</v>
          </cell>
        </row>
        <row r="137">
          <cell r="A137" t="str">
            <v>1400 1301080020</v>
          </cell>
          <cell r="C137">
            <v>1400</v>
          </cell>
          <cell r="D137">
            <v>1301080020</v>
          </cell>
          <cell r="E137" t="str">
            <v>I/CRec-AflacUS/Col</v>
          </cell>
          <cell r="G137">
            <v>45000</v>
          </cell>
          <cell r="I137">
            <v>0</v>
          </cell>
          <cell r="K137">
            <v>45000</v>
          </cell>
        </row>
        <row r="138">
          <cell r="A138" t="str">
            <v>1400 1301080034</v>
          </cell>
          <cell r="C138">
            <v>1400</v>
          </cell>
          <cell r="D138">
            <v>1301080034</v>
          </cell>
          <cell r="E138" t="str">
            <v>I/CRec-Simple Tech</v>
          </cell>
          <cell r="G138">
            <v>0</v>
          </cell>
          <cell r="I138">
            <v>0</v>
          </cell>
          <cell r="K138">
            <v>0</v>
          </cell>
        </row>
        <row r="139">
          <cell r="A139" t="str">
            <v>1400 2905010001</v>
          </cell>
          <cell r="C139">
            <v>1400</v>
          </cell>
          <cell r="D139">
            <v>2905010001</v>
          </cell>
          <cell r="E139" t="str">
            <v>ICPayToAflInc</v>
          </cell>
          <cell r="G139">
            <v>0</v>
          </cell>
          <cell r="I139">
            <v>0</v>
          </cell>
          <cell r="K139">
            <v>0</v>
          </cell>
        </row>
        <row r="140">
          <cell r="A140" t="str">
            <v>1410 1301120004</v>
          </cell>
          <cell r="C140">
            <v>1410</v>
          </cell>
          <cell r="D140">
            <v>1301120004</v>
          </cell>
          <cell r="E140" t="str">
            <v>I/CAFLACIT</v>
          </cell>
          <cell r="G140">
            <v>0</v>
          </cell>
          <cell r="I140">
            <v>0</v>
          </cell>
          <cell r="K140">
            <v>0</v>
          </cell>
        </row>
        <row r="141">
          <cell r="A141" t="str">
            <v>1410 1301110001</v>
          </cell>
          <cell r="C141">
            <v>1410</v>
          </cell>
          <cell r="D141">
            <v>1301110001</v>
          </cell>
          <cell r="E141" t="str">
            <v>I/CInc</v>
          </cell>
          <cell r="G141">
            <v>0</v>
          </cell>
          <cell r="I141">
            <v>0</v>
          </cell>
          <cell r="K141">
            <v>0</v>
          </cell>
        </row>
        <row r="142">
          <cell r="A142" t="str">
            <v>1410 2905010001</v>
          </cell>
          <cell r="C142">
            <v>1410</v>
          </cell>
          <cell r="D142">
            <v>2905010001</v>
          </cell>
          <cell r="E142" t="str">
            <v>ICPayToAflInc</v>
          </cell>
          <cell r="G142">
            <v>0</v>
          </cell>
          <cell r="I142">
            <v>0</v>
          </cell>
          <cell r="K142">
            <v>0</v>
          </cell>
        </row>
        <row r="143">
          <cell r="A143" t="str">
            <v>1410 2905028003</v>
          </cell>
          <cell r="C143">
            <v>1410</v>
          </cell>
          <cell r="D143">
            <v>2905028003</v>
          </cell>
          <cell r="E143" t="str">
            <v>ICPayToAITPay</v>
          </cell>
          <cell r="G143">
            <v>0</v>
          </cell>
          <cell r="I143">
            <v>0</v>
          </cell>
          <cell r="K143">
            <v>0</v>
          </cell>
        </row>
        <row r="144">
          <cell r="A144" t="str">
            <v>1500 2905028014</v>
          </cell>
          <cell r="C144">
            <v>1500</v>
          </cell>
          <cell r="D144">
            <v>2905028014</v>
          </cell>
          <cell r="E144" t="str">
            <v>I/CPayNLAC/Aflac Col</v>
          </cell>
          <cell r="G144">
            <v>0</v>
          </cell>
          <cell r="I144">
            <v>0</v>
          </cell>
          <cell r="K144">
            <v>0</v>
          </cell>
        </row>
        <row r="145">
          <cell r="A145" t="str">
            <v>1500 1301080020</v>
          </cell>
          <cell r="C145">
            <v>1500</v>
          </cell>
          <cell r="D145">
            <v>1301080020</v>
          </cell>
          <cell r="E145" t="str">
            <v>I/CRec-AflacUS/Col</v>
          </cell>
          <cell r="G145">
            <v>1125</v>
          </cell>
          <cell r="I145">
            <v>0</v>
          </cell>
          <cell r="K145">
            <v>1125</v>
          </cell>
        </row>
        <row r="146">
          <cell r="A146" t="str">
            <v>1500 2905028009</v>
          </cell>
          <cell r="C146">
            <v>1500</v>
          </cell>
          <cell r="D146">
            <v>2905028009</v>
          </cell>
          <cell r="E146" t="str">
            <v>ICPayToAflacBenAdv</v>
          </cell>
          <cell r="G146">
            <v>0</v>
          </cell>
          <cell r="I146">
            <v>4335652.45</v>
          </cell>
          <cell r="K146">
            <v>-4335652.45</v>
          </cell>
        </row>
        <row r="147">
          <cell r="A147" t="str">
            <v>1500 2905010001</v>
          </cell>
          <cell r="C147">
            <v>1500</v>
          </cell>
          <cell r="D147">
            <v>2905010001</v>
          </cell>
          <cell r="E147" t="str">
            <v>ICPayToAflInc</v>
          </cell>
          <cell r="G147">
            <v>0</v>
          </cell>
          <cell r="I147">
            <v>0</v>
          </cell>
          <cell r="K147">
            <v>0</v>
          </cell>
        </row>
        <row r="148">
          <cell r="A148" t="str">
            <v>1500 2905022005</v>
          </cell>
          <cell r="C148">
            <v>1500</v>
          </cell>
          <cell r="D148">
            <v>2905022005</v>
          </cell>
          <cell r="E148" t="str">
            <v>ICPayToAflNY</v>
          </cell>
          <cell r="G148">
            <v>188.36</v>
          </cell>
          <cell r="I148">
            <v>0</v>
          </cell>
          <cell r="K148">
            <v>188.36</v>
          </cell>
        </row>
        <row r="149">
          <cell r="A149" t="str">
            <v>1500 2905028001</v>
          </cell>
          <cell r="C149">
            <v>1500</v>
          </cell>
          <cell r="D149">
            <v>2905028001</v>
          </cell>
          <cell r="E149" t="str">
            <v>ICToAflGroup</v>
          </cell>
          <cell r="G149">
            <v>0</v>
          </cell>
          <cell r="I149">
            <v>0</v>
          </cell>
          <cell r="K149">
            <v>0</v>
          </cell>
        </row>
        <row r="150">
          <cell r="A150" t="str">
            <v>1500 2905028012</v>
          </cell>
          <cell r="C150">
            <v>1500</v>
          </cell>
          <cell r="D150">
            <v>2905028012</v>
          </cell>
          <cell r="E150" t="str">
            <v>IntercoPay AGI TMK</v>
          </cell>
          <cell r="G150">
            <v>0</v>
          </cell>
          <cell r="I150">
            <v>0</v>
          </cell>
          <cell r="K150">
            <v>0</v>
          </cell>
        </row>
        <row r="151">
          <cell r="A151" t="str">
            <v>1500 2905028019</v>
          </cell>
          <cell r="C151">
            <v>1500</v>
          </cell>
          <cell r="D151">
            <v>2905028019</v>
          </cell>
          <cell r="E151" t="str">
            <v>IntercoPay NY TMK</v>
          </cell>
          <cell r="G151">
            <v>0</v>
          </cell>
          <cell r="I151">
            <v>25.34</v>
          </cell>
          <cell r="K151">
            <v>-25.34</v>
          </cell>
        </row>
        <row r="152">
          <cell r="A152" t="str">
            <v>1510 1301080001</v>
          </cell>
          <cell r="C152">
            <v>1510</v>
          </cell>
          <cell r="D152">
            <v>1301080001</v>
          </cell>
          <cell r="E152" t="str">
            <v>I/CAFLACCol</v>
          </cell>
          <cell r="G152">
            <v>0</v>
          </cell>
          <cell r="I152">
            <v>0</v>
          </cell>
          <cell r="K152">
            <v>0</v>
          </cell>
        </row>
        <row r="153">
          <cell r="A153" t="str">
            <v>1510 1301080004</v>
          </cell>
          <cell r="C153">
            <v>1510</v>
          </cell>
          <cell r="D153">
            <v>1301080004</v>
          </cell>
          <cell r="E153" t="str">
            <v>I/CAflacGroup</v>
          </cell>
          <cell r="G153">
            <v>0</v>
          </cell>
          <cell r="I153">
            <v>0</v>
          </cell>
          <cell r="K153">
            <v>0</v>
          </cell>
        </row>
        <row r="154">
          <cell r="A154" t="str">
            <v>1510 2905028014</v>
          </cell>
          <cell r="C154">
            <v>1510</v>
          </cell>
          <cell r="D154">
            <v>2905028014</v>
          </cell>
          <cell r="E154" t="str">
            <v>I/CPayNLAC/Aflac Col</v>
          </cell>
          <cell r="G154">
            <v>0</v>
          </cell>
          <cell r="I154">
            <v>0</v>
          </cell>
          <cell r="K154">
            <v>0</v>
          </cell>
        </row>
        <row r="155">
          <cell r="A155" t="str">
            <v>1510 1301080020</v>
          </cell>
          <cell r="C155">
            <v>1510</v>
          </cell>
          <cell r="D155">
            <v>1301080020</v>
          </cell>
          <cell r="E155" t="str">
            <v>I/CRec-AflacUS/Col</v>
          </cell>
          <cell r="G155">
            <v>0</v>
          </cell>
          <cell r="I155">
            <v>0</v>
          </cell>
          <cell r="K155">
            <v>0</v>
          </cell>
        </row>
        <row r="156">
          <cell r="A156" t="str">
            <v>1510 2905010001</v>
          </cell>
          <cell r="C156">
            <v>1510</v>
          </cell>
          <cell r="D156">
            <v>2905010001</v>
          </cell>
          <cell r="E156" t="str">
            <v>ICPayToAflInc</v>
          </cell>
          <cell r="G156">
            <v>0</v>
          </cell>
          <cell r="I156">
            <v>0</v>
          </cell>
          <cell r="K156">
            <v>0</v>
          </cell>
        </row>
        <row r="157">
          <cell r="A157" t="str">
            <v>1510 2905028001</v>
          </cell>
          <cell r="C157">
            <v>1510</v>
          </cell>
          <cell r="D157">
            <v>2905028001</v>
          </cell>
          <cell r="E157" t="str">
            <v>ICToAflGroup</v>
          </cell>
          <cell r="G157">
            <v>0</v>
          </cell>
          <cell r="I157">
            <v>0</v>
          </cell>
          <cell r="K157">
            <v>0</v>
          </cell>
        </row>
        <row r="158">
          <cell r="A158" t="str">
            <v>1550 1301110004</v>
          </cell>
          <cell r="C158">
            <v>1550</v>
          </cell>
          <cell r="D158">
            <v>1301110004</v>
          </cell>
          <cell r="E158" t="str">
            <v>I/CoRecABS</v>
          </cell>
          <cell r="G158">
            <v>4335652.45</v>
          </cell>
          <cell r="I158">
            <v>0</v>
          </cell>
          <cell r="K158">
            <v>4335652.45</v>
          </cell>
        </row>
        <row r="159">
          <cell r="A159" t="str">
            <v>1600 1301080004</v>
          </cell>
          <cell r="C159">
            <v>1600</v>
          </cell>
          <cell r="D159">
            <v>1301080004</v>
          </cell>
          <cell r="E159" t="str">
            <v>I/CAflacGroup</v>
          </cell>
          <cell r="G159">
            <v>0</v>
          </cell>
          <cell r="I159">
            <v>0</v>
          </cell>
          <cell r="K159">
            <v>0</v>
          </cell>
        </row>
        <row r="160">
          <cell r="A160" t="str">
            <v>1600 1301150001</v>
          </cell>
          <cell r="C160">
            <v>1600</v>
          </cell>
          <cell r="D160">
            <v>1301150001</v>
          </cell>
          <cell r="E160" t="str">
            <v>I/CAflacInt'l</v>
          </cell>
          <cell r="G160">
            <v>0</v>
          </cell>
          <cell r="I160">
            <v>0</v>
          </cell>
          <cell r="K160">
            <v>0</v>
          </cell>
        </row>
        <row r="161">
          <cell r="A161" t="str">
            <v>1600 1301080003</v>
          </cell>
          <cell r="C161">
            <v>1600</v>
          </cell>
          <cell r="D161">
            <v>1301080003</v>
          </cell>
          <cell r="E161" t="str">
            <v>I/CAflacNY</v>
          </cell>
          <cell r="G161">
            <v>0</v>
          </cell>
          <cell r="I161">
            <v>0</v>
          </cell>
          <cell r="K161">
            <v>0</v>
          </cell>
        </row>
        <row r="162">
          <cell r="A162" t="str">
            <v>1600 1301110001</v>
          </cell>
          <cell r="C162">
            <v>1600</v>
          </cell>
          <cell r="D162">
            <v>1301110001</v>
          </cell>
          <cell r="E162" t="str">
            <v>I/CInc</v>
          </cell>
          <cell r="G162">
            <v>0</v>
          </cell>
          <cell r="I162">
            <v>0</v>
          </cell>
          <cell r="K162">
            <v>0</v>
          </cell>
        </row>
        <row r="163">
          <cell r="A163" t="str">
            <v>1600 2905028024</v>
          </cell>
          <cell r="C163">
            <v>1600</v>
          </cell>
          <cell r="D163">
            <v>2905028024</v>
          </cell>
          <cell r="E163" t="str">
            <v>I/Cpay-Empower.Insur</v>
          </cell>
          <cell r="G163">
            <v>1657558</v>
          </cell>
          <cell r="I163">
            <v>0</v>
          </cell>
          <cell r="K163">
            <v>1657558</v>
          </cell>
        </row>
        <row r="164">
          <cell r="A164" t="str">
            <v>1600 2905028014</v>
          </cell>
          <cell r="C164">
            <v>1600</v>
          </cell>
          <cell r="D164">
            <v>2905028014</v>
          </cell>
          <cell r="E164" t="str">
            <v>I/CPayNLAC/Aflac Col</v>
          </cell>
          <cell r="G164">
            <v>0</v>
          </cell>
          <cell r="I164">
            <v>15454672.26</v>
          </cell>
          <cell r="K164">
            <v>-15454672.26</v>
          </cell>
        </row>
        <row r="165">
          <cell r="A165" t="str">
            <v>1600 1301080022</v>
          </cell>
          <cell r="C165">
            <v>1600</v>
          </cell>
          <cell r="D165">
            <v>1301080022</v>
          </cell>
          <cell r="E165" t="str">
            <v>I/CRec-AAMLLC</v>
          </cell>
          <cell r="G165">
            <v>0</v>
          </cell>
          <cell r="I165">
            <v>0</v>
          </cell>
          <cell r="K165">
            <v>0</v>
          </cell>
        </row>
        <row r="166">
          <cell r="A166" t="str">
            <v>1600 1301080020</v>
          </cell>
          <cell r="C166">
            <v>1600</v>
          </cell>
          <cell r="D166">
            <v>1301080020</v>
          </cell>
          <cell r="E166" t="str">
            <v>I/CRec-AflacUS/Col</v>
          </cell>
          <cell r="G166">
            <v>14512311.289999999</v>
          </cell>
          <cell r="I166">
            <v>0</v>
          </cell>
          <cell r="K166">
            <v>14512311.289999999</v>
          </cell>
        </row>
        <row r="167">
          <cell r="A167" t="str">
            <v>1600 2905010001</v>
          </cell>
          <cell r="C167">
            <v>1600</v>
          </cell>
          <cell r="D167">
            <v>2905010001</v>
          </cell>
          <cell r="E167" t="str">
            <v>ICPayToAflInc</v>
          </cell>
          <cell r="G167">
            <v>0</v>
          </cell>
          <cell r="I167">
            <v>0</v>
          </cell>
          <cell r="K167">
            <v>0</v>
          </cell>
        </row>
        <row r="168">
          <cell r="A168" t="str">
            <v>1600 2905028001</v>
          </cell>
          <cell r="C168">
            <v>1600</v>
          </cell>
          <cell r="D168">
            <v>2905028001</v>
          </cell>
          <cell r="E168" t="str">
            <v>ICToAflGroup</v>
          </cell>
          <cell r="G168">
            <v>0</v>
          </cell>
          <cell r="I168">
            <v>3750</v>
          </cell>
          <cell r="K168">
            <v>-3750</v>
          </cell>
        </row>
        <row r="169">
          <cell r="A169" t="str">
            <v>1600 1301120008</v>
          </cell>
          <cell r="C169">
            <v>1600</v>
          </cell>
          <cell r="D169">
            <v>1301120008</v>
          </cell>
          <cell r="E169" t="str">
            <v>IntercoAR Columbus P</v>
          </cell>
          <cell r="G169">
            <v>0</v>
          </cell>
          <cell r="I169">
            <v>0</v>
          </cell>
          <cell r="K169">
            <v>0</v>
          </cell>
        </row>
        <row r="170">
          <cell r="A170" t="str">
            <v>1600 1301190005</v>
          </cell>
          <cell r="C170">
            <v>1600</v>
          </cell>
          <cell r="D170">
            <v>1301190005</v>
          </cell>
          <cell r="E170" t="str">
            <v>RecReinsAllwDoubtAc</v>
          </cell>
          <cell r="G170">
            <v>0</v>
          </cell>
          <cell r="I170">
            <v>4047.77</v>
          </cell>
          <cell r="K170">
            <v>-4047.77</v>
          </cell>
        </row>
        <row r="171">
          <cell r="A171" t="str">
            <v>1800 1301110001</v>
          </cell>
          <cell r="C171">
            <v>1800</v>
          </cell>
          <cell r="D171">
            <v>1301110001</v>
          </cell>
          <cell r="E171" t="str">
            <v>I/CInc</v>
          </cell>
          <cell r="G171">
            <v>0</v>
          </cell>
          <cell r="I171">
            <v>0</v>
          </cell>
          <cell r="K171">
            <v>0</v>
          </cell>
        </row>
        <row r="172">
          <cell r="A172" t="str">
            <v>1800 2905028030</v>
          </cell>
          <cell r="C172">
            <v>1800</v>
          </cell>
          <cell r="D172">
            <v>2905028030</v>
          </cell>
          <cell r="E172" t="str">
            <v>I/CPay AVJ</v>
          </cell>
          <cell r="G172">
            <v>0</v>
          </cell>
          <cell r="I172">
            <v>143063.26</v>
          </cell>
          <cell r="K172">
            <v>-143063.26</v>
          </cell>
        </row>
        <row r="173">
          <cell r="A173" t="str">
            <v>1800 2905028024</v>
          </cell>
          <cell r="C173">
            <v>1800</v>
          </cell>
          <cell r="D173">
            <v>2905028024</v>
          </cell>
          <cell r="E173" t="str">
            <v>I/Cpay-Empower.Insur</v>
          </cell>
          <cell r="G173">
            <v>0</v>
          </cell>
          <cell r="I173">
            <v>42000</v>
          </cell>
          <cell r="K173">
            <v>-42000</v>
          </cell>
        </row>
        <row r="174">
          <cell r="A174" t="str">
            <v>1800 2905028014</v>
          </cell>
          <cell r="C174">
            <v>1800</v>
          </cell>
          <cell r="D174">
            <v>2905028014</v>
          </cell>
          <cell r="E174" t="str">
            <v>I/CPayNLAC/Aflac Col</v>
          </cell>
          <cell r="G174">
            <v>0</v>
          </cell>
          <cell r="I174">
            <v>121514.9</v>
          </cell>
          <cell r="K174">
            <v>-121514.9</v>
          </cell>
        </row>
        <row r="175">
          <cell r="A175" t="str">
            <v>1800 1301080035</v>
          </cell>
          <cell r="C175">
            <v>1800</v>
          </cell>
          <cell r="D175">
            <v>1301080035</v>
          </cell>
          <cell r="E175" t="str">
            <v>I/CRec AVJ</v>
          </cell>
          <cell r="G175">
            <v>160864.51999999999</v>
          </cell>
          <cell r="I175">
            <v>0</v>
          </cell>
          <cell r="K175">
            <v>160864.51999999999</v>
          </cell>
        </row>
        <row r="176">
          <cell r="A176" t="str">
            <v>1800 1301080020</v>
          </cell>
          <cell r="C176">
            <v>1800</v>
          </cell>
          <cell r="D176">
            <v>1301080020</v>
          </cell>
          <cell r="E176" t="str">
            <v>I/CRec-AflacUS/Col</v>
          </cell>
          <cell r="G176">
            <v>0</v>
          </cell>
          <cell r="I176">
            <v>0</v>
          </cell>
          <cell r="K176">
            <v>0</v>
          </cell>
        </row>
        <row r="177">
          <cell r="A177" t="str">
            <v>1800 1301080026</v>
          </cell>
          <cell r="C177">
            <v>1800</v>
          </cell>
          <cell r="D177">
            <v>1301080026</v>
          </cell>
          <cell r="E177" t="str">
            <v>I/CRec-AFLVentLab</v>
          </cell>
          <cell r="G177">
            <v>20000</v>
          </cell>
          <cell r="I177">
            <v>0</v>
          </cell>
          <cell r="K177">
            <v>20000</v>
          </cell>
        </row>
        <row r="178">
          <cell r="A178" t="str">
            <v>1800 2905010001</v>
          </cell>
          <cell r="C178">
            <v>1800</v>
          </cell>
          <cell r="D178">
            <v>2905010001</v>
          </cell>
          <cell r="E178" t="str">
            <v>ICPayToAflInc</v>
          </cell>
          <cell r="G178">
            <v>0</v>
          </cell>
          <cell r="I178">
            <v>44284</v>
          </cell>
          <cell r="K178">
            <v>-44284</v>
          </cell>
        </row>
        <row r="179">
          <cell r="A179" t="str">
            <v>1810 1301110001</v>
          </cell>
          <cell r="C179">
            <v>1810</v>
          </cell>
          <cell r="D179">
            <v>1301110001</v>
          </cell>
          <cell r="E179" t="str">
            <v>I/CInc</v>
          </cell>
          <cell r="G179">
            <v>609</v>
          </cell>
          <cell r="I179">
            <v>0</v>
          </cell>
          <cell r="K179">
            <v>609</v>
          </cell>
        </row>
        <row r="180">
          <cell r="A180" t="str">
            <v>1810 2905028014</v>
          </cell>
          <cell r="C180">
            <v>1810</v>
          </cell>
          <cell r="D180">
            <v>2905028014</v>
          </cell>
          <cell r="E180" t="str">
            <v>I/CPayNLAC/Aflac Col</v>
          </cell>
          <cell r="G180">
            <v>0</v>
          </cell>
          <cell r="I180">
            <v>105</v>
          </cell>
          <cell r="K180">
            <v>-105</v>
          </cell>
        </row>
        <row r="181">
          <cell r="A181" t="str">
            <v>1820 1301110001</v>
          </cell>
          <cell r="C181">
            <v>1820</v>
          </cell>
          <cell r="D181">
            <v>1301110001</v>
          </cell>
          <cell r="E181" t="str">
            <v>I/CInc</v>
          </cell>
          <cell r="G181">
            <v>609</v>
          </cell>
          <cell r="I181">
            <v>0</v>
          </cell>
          <cell r="K181">
            <v>609</v>
          </cell>
        </row>
        <row r="182">
          <cell r="A182" t="str">
            <v>1820 2905028014</v>
          </cell>
          <cell r="C182">
            <v>1820</v>
          </cell>
          <cell r="D182">
            <v>2905028014</v>
          </cell>
          <cell r="E182" t="str">
            <v>I/CPayNLAC/Aflac Col</v>
          </cell>
          <cell r="G182">
            <v>0</v>
          </cell>
          <cell r="I182">
            <v>105</v>
          </cell>
          <cell r="K182">
            <v>-105</v>
          </cell>
        </row>
        <row r="183">
          <cell r="A183" t="str">
            <v>1820 2905010001</v>
          </cell>
          <cell r="C183">
            <v>1820</v>
          </cell>
          <cell r="D183">
            <v>2905010001</v>
          </cell>
          <cell r="E183" t="str">
            <v>ICPayToAflInc</v>
          </cell>
          <cell r="G183">
            <v>0</v>
          </cell>
          <cell r="I183">
            <v>6165.8</v>
          </cell>
          <cell r="K183">
            <v>-6165.8</v>
          </cell>
        </row>
        <row r="184">
          <cell r="A184" t="str">
            <v>1825 2905010001</v>
          </cell>
          <cell r="C184">
            <v>1825</v>
          </cell>
          <cell r="D184">
            <v>2905010001</v>
          </cell>
          <cell r="E184" t="str">
            <v>ICPayToAflInc</v>
          </cell>
          <cell r="G184">
            <v>0</v>
          </cell>
          <cell r="I184">
            <v>0</v>
          </cell>
          <cell r="K184">
            <v>0</v>
          </cell>
        </row>
        <row r="185">
          <cell r="A185" t="str">
            <v>1830 1301110001</v>
          </cell>
          <cell r="C185">
            <v>1830</v>
          </cell>
          <cell r="D185">
            <v>1301110001</v>
          </cell>
          <cell r="E185" t="str">
            <v>I/CInc</v>
          </cell>
          <cell r="G185">
            <v>609</v>
          </cell>
          <cell r="I185">
            <v>0</v>
          </cell>
          <cell r="K185">
            <v>609</v>
          </cell>
        </row>
        <row r="186">
          <cell r="A186" t="str">
            <v>1830 2905028018</v>
          </cell>
          <cell r="C186">
            <v>1830</v>
          </cell>
          <cell r="D186">
            <v>2905028018</v>
          </cell>
          <cell r="E186" t="str">
            <v>I/CPay-AflaccorpVent</v>
          </cell>
          <cell r="G186">
            <v>0</v>
          </cell>
          <cell r="I186">
            <v>20000</v>
          </cell>
          <cell r="K186">
            <v>-20000</v>
          </cell>
        </row>
        <row r="187">
          <cell r="A187" t="str">
            <v>1830 2905010001</v>
          </cell>
          <cell r="C187">
            <v>1830</v>
          </cell>
          <cell r="D187">
            <v>2905010001</v>
          </cell>
          <cell r="E187" t="str">
            <v>ICPayToAflInc</v>
          </cell>
          <cell r="G187">
            <v>0</v>
          </cell>
          <cell r="I187">
            <v>0</v>
          </cell>
          <cell r="K187">
            <v>0</v>
          </cell>
        </row>
        <row r="188">
          <cell r="A188" t="str">
            <v>1840 1301080003</v>
          </cell>
          <cell r="C188">
            <v>1840</v>
          </cell>
          <cell r="D188">
            <v>1301080003</v>
          </cell>
          <cell r="E188" t="str">
            <v>I/CAflacNY</v>
          </cell>
          <cell r="G188">
            <v>17.170000000000002</v>
          </cell>
          <cell r="I188">
            <v>0</v>
          </cell>
          <cell r="K188">
            <v>17.170000000000002</v>
          </cell>
        </row>
        <row r="189">
          <cell r="A189" t="str">
            <v>1840 1301110001</v>
          </cell>
          <cell r="C189">
            <v>1840</v>
          </cell>
          <cell r="D189">
            <v>1301110001</v>
          </cell>
          <cell r="E189" t="str">
            <v>I/CInc</v>
          </cell>
          <cell r="G189">
            <v>8763</v>
          </cell>
          <cell r="I189">
            <v>0</v>
          </cell>
          <cell r="K189">
            <v>8763</v>
          </cell>
        </row>
        <row r="190">
          <cell r="A190" t="str">
            <v>1840 2905028015</v>
          </cell>
          <cell r="C190">
            <v>1840</v>
          </cell>
          <cell r="D190">
            <v>2905028015</v>
          </cell>
          <cell r="E190" t="str">
            <v>I/CPay-TOIC</v>
          </cell>
          <cell r="G190">
            <v>0</v>
          </cell>
          <cell r="I190">
            <v>80249.42</v>
          </cell>
          <cell r="K190">
            <v>-80249.42</v>
          </cell>
        </row>
        <row r="191">
          <cell r="A191" t="str">
            <v>1840 2905028014</v>
          </cell>
          <cell r="C191">
            <v>1840</v>
          </cell>
          <cell r="D191">
            <v>2905028014</v>
          </cell>
          <cell r="E191" t="str">
            <v>I/CPayNLAC/Aflac Col</v>
          </cell>
          <cell r="G191">
            <v>0</v>
          </cell>
          <cell r="I191">
            <v>219163.63</v>
          </cell>
          <cell r="K191">
            <v>-219163.63</v>
          </cell>
        </row>
        <row r="192">
          <cell r="A192" t="str">
            <v>1840 1301080018</v>
          </cell>
          <cell r="C192">
            <v>1840</v>
          </cell>
          <cell r="D192">
            <v>1301080018</v>
          </cell>
          <cell r="E192" t="str">
            <v>I/CRec-AflacCorpVent</v>
          </cell>
          <cell r="G192">
            <v>42000</v>
          </cell>
          <cell r="I192">
            <v>0</v>
          </cell>
          <cell r="K192">
            <v>42000</v>
          </cell>
        </row>
        <row r="193">
          <cell r="A193" t="str">
            <v>1840 1301080020</v>
          </cell>
          <cell r="C193">
            <v>1840</v>
          </cell>
          <cell r="D193">
            <v>1301080020</v>
          </cell>
          <cell r="E193" t="str">
            <v>I/CRec-AflacUS/Col</v>
          </cell>
          <cell r="G193">
            <v>167.58</v>
          </cell>
          <cell r="I193">
            <v>0</v>
          </cell>
          <cell r="K193">
            <v>167.58</v>
          </cell>
        </row>
        <row r="194">
          <cell r="A194" t="str">
            <v>1840 1301080029</v>
          </cell>
          <cell r="C194">
            <v>1840</v>
          </cell>
          <cell r="D194">
            <v>1301080029</v>
          </cell>
          <cell r="E194" t="str">
            <v>I/CRec-Empower.Insur</v>
          </cell>
          <cell r="G194">
            <v>0</v>
          </cell>
          <cell r="I194">
            <v>0</v>
          </cell>
          <cell r="K194">
            <v>0</v>
          </cell>
        </row>
        <row r="195">
          <cell r="A195" t="str">
            <v>1840 1301080021</v>
          </cell>
          <cell r="C195">
            <v>1840</v>
          </cell>
          <cell r="D195">
            <v>1301080021</v>
          </cell>
          <cell r="E195" t="str">
            <v>I/CRec-TOIC</v>
          </cell>
          <cell r="G195">
            <v>61.38</v>
          </cell>
          <cell r="I195">
            <v>0</v>
          </cell>
          <cell r="K195">
            <v>61.38</v>
          </cell>
        </row>
        <row r="196">
          <cell r="A196" t="str">
            <v>1840 2905028008</v>
          </cell>
          <cell r="C196">
            <v>1840</v>
          </cell>
          <cell r="D196">
            <v>2905028008</v>
          </cell>
          <cell r="E196" t="str">
            <v>ICPayCcorpOrders</v>
          </cell>
          <cell r="G196">
            <v>0</v>
          </cell>
          <cell r="I196">
            <v>596.9</v>
          </cell>
          <cell r="K196">
            <v>-596.9</v>
          </cell>
        </row>
        <row r="197">
          <cell r="A197" t="str">
            <v>1840 2905010001</v>
          </cell>
          <cell r="C197">
            <v>1840</v>
          </cell>
          <cell r="D197">
            <v>2905010001</v>
          </cell>
          <cell r="E197" t="str">
            <v>ICPayToAflInc</v>
          </cell>
          <cell r="G197">
            <v>0</v>
          </cell>
          <cell r="I197">
            <v>43160.87</v>
          </cell>
          <cell r="K197">
            <v>-43160.87</v>
          </cell>
        </row>
        <row r="198">
          <cell r="A198" t="str">
            <v>1840 2905028001</v>
          </cell>
          <cell r="C198">
            <v>1840</v>
          </cell>
          <cell r="D198">
            <v>2905028001</v>
          </cell>
          <cell r="E198" t="str">
            <v>ICToAflGroup</v>
          </cell>
          <cell r="G198">
            <v>0</v>
          </cell>
          <cell r="I198">
            <v>2771</v>
          </cell>
          <cell r="K198">
            <v>-2771</v>
          </cell>
        </row>
        <row r="199">
          <cell r="A199" t="str">
            <v>1860 1301110001</v>
          </cell>
          <cell r="C199">
            <v>1860</v>
          </cell>
          <cell r="D199">
            <v>1301110001</v>
          </cell>
          <cell r="E199" t="str">
            <v>I/CInc</v>
          </cell>
          <cell r="G199">
            <v>0</v>
          </cell>
          <cell r="I199">
            <v>0</v>
          </cell>
          <cell r="K199">
            <v>0</v>
          </cell>
        </row>
        <row r="200">
          <cell r="A200" t="str">
            <v>1860 2905028014</v>
          </cell>
          <cell r="C200">
            <v>1860</v>
          </cell>
          <cell r="D200">
            <v>2905028014</v>
          </cell>
          <cell r="E200" t="str">
            <v>I/CPayNLAC/Aflac Col</v>
          </cell>
          <cell r="G200">
            <v>0</v>
          </cell>
          <cell r="I200">
            <v>729</v>
          </cell>
          <cell r="K200">
            <v>-729</v>
          </cell>
        </row>
        <row r="201">
          <cell r="A201" t="str">
            <v>1860 1301080020</v>
          </cell>
          <cell r="C201">
            <v>1860</v>
          </cell>
          <cell r="D201">
            <v>1301080020</v>
          </cell>
          <cell r="E201" t="str">
            <v>I/CRec-AflacUS/Col</v>
          </cell>
          <cell r="G201">
            <v>0</v>
          </cell>
          <cell r="I201">
            <v>0</v>
          </cell>
          <cell r="K201">
            <v>0</v>
          </cell>
        </row>
        <row r="202">
          <cell r="A202" t="str">
            <v>1860 2905010001</v>
          </cell>
          <cell r="C202">
            <v>1860</v>
          </cell>
          <cell r="D202">
            <v>2905010001</v>
          </cell>
          <cell r="E202" t="str">
            <v>ICPayToAflInc</v>
          </cell>
          <cell r="G202">
            <v>0</v>
          </cell>
          <cell r="I202">
            <v>0</v>
          </cell>
          <cell r="K202">
            <v>0</v>
          </cell>
        </row>
        <row r="203">
          <cell r="A203" t="str">
            <v>1870 1301113100</v>
          </cell>
          <cell r="C203">
            <v>1870</v>
          </cell>
          <cell r="D203">
            <v>1301113100</v>
          </cell>
          <cell r="E203" t="str">
            <v>I/C Aflac Japan</v>
          </cell>
          <cell r="G203">
            <v>0</v>
          </cell>
          <cell r="I203">
            <v>0</v>
          </cell>
          <cell r="K203">
            <v>0</v>
          </cell>
        </row>
        <row r="204">
          <cell r="A204" t="str">
            <v>1870 1301080036</v>
          </cell>
          <cell r="C204">
            <v>1870</v>
          </cell>
          <cell r="D204">
            <v>1301080036</v>
          </cell>
          <cell r="E204" t="str">
            <v>I/CRecHatchHealthcar</v>
          </cell>
          <cell r="G204">
            <v>0</v>
          </cell>
          <cell r="I204">
            <v>0</v>
          </cell>
          <cell r="K204">
            <v>0</v>
          </cell>
        </row>
        <row r="205">
          <cell r="A205" t="str">
            <v>1871 1301113100</v>
          </cell>
          <cell r="C205">
            <v>1871</v>
          </cell>
          <cell r="D205">
            <v>1301113100</v>
          </cell>
          <cell r="E205" t="str">
            <v>I/C Aflac Japan</v>
          </cell>
          <cell r="G205">
            <v>0</v>
          </cell>
          <cell r="I205">
            <v>0</v>
          </cell>
          <cell r="K205">
            <v>0</v>
          </cell>
        </row>
        <row r="206">
          <cell r="A206" t="str">
            <v>1871 1301080035</v>
          </cell>
          <cell r="C206">
            <v>1871</v>
          </cell>
          <cell r="D206">
            <v>1301080035</v>
          </cell>
          <cell r="E206" t="str">
            <v>I/CRec AVJ</v>
          </cell>
          <cell r="G206">
            <v>0</v>
          </cell>
          <cell r="I206">
            <v>0</v>
          </cell>
          <cell r="K206">
            <v>0</v>
          </cell>
        </row>
        <row r="207">
          <cell r="A207" t="str">
            <v>2200 1301080004</v>
          </cell>
          <cell r="C207">
            <v>2200</v>
          </cell>
          <cell r="D207">
            <v>1301080004</v>
          </cell>
          <cell r="E207" t="str">
            <v>I/CAflacGroup</v>
          </cell>
          <cell r="G207">
            <v>599195.34</v>
          </cell>
          <cell r="I207">
            <v>0</v>
          </cell>
          <cell r="K207">
            <v>599195.34</v>
          </cell>
        </row>
        <row r="208">
          <cell r="A208" t="str">
            <v>2200 1301120003</v>
          </cell>
          <cell r="C208">
            <v>2200</v>
          </cell>
          <cell r="D208">
            <v>1301120003</v>
          </cell>
          <cell r="E208" t="str">
            <v>I/CDuckGearOrders</v>
          </cell>
          <cell r="G208">
            <v>0</v>
          </cell>
          <cell r="I208">
            <v>0</v>
          </cell>
          <cell r="K208">
            <v>0</v>
          </cell>
        </row>
        <row r="209">
          <cell r="A209" t="str">
            <v>2200 1301110001</v>
          </cell>
          <cell r="C209">
            <v>2200</v>
          </cell>
          <cell r="D209">
            <v>1301110001</v>
          </cell>
          <cell r="E209" t="str">
            <v>I/CInc</v>
          </cell>
          <cell r="G209">
            <v>415143.78</v>
          </cell>
          <cell r="I209">
            <v>0</v>
          </cell>
          <cell r="K209">
            <v>415143.78</v>
          </cell>
        </row>
        <row r="210">
          <cell r="A210" t="str">
            <v>2200 1301110004</v>
          </cell>
          <cell r="C210">
            <v>2200</v>
          </cell>
          <cell r="D210">
            <v>1301110004</v>
          </cell>
          <cell r="E210" t="str">
            <v>I/CoRecABS</v>
          </cell>
          <cell r="G210">
            <v>0</v>
          </cell>
          <cell r="I210">
            <v>188.36</v>
          </cell>
          <cell r="K210">
            <v>-188.36</v>
          </cell>
        </row>
        <row r="211">
          <cell r="A211" t="str">
            <v>2200 2905028016</v>
          </cell>
          <cell r="C211">
            <v>2200</v>
          </cell>
          <cell r="D211">
            <v>2905028016</v>
          </cell>
          <cell r="E211" t="str">
            <v>I/CPay-AAMLLC</v>
          </cell>
          <cell r="G211">
            <v>0</v>
          </cell>
          <cell r="I211">
            <v>37537.160000000003</v>
          </cell>
          <cell r="K211">
            <v>-37537.160000000003</v>
          </cell>
        </row>
        <row r="212">
          <cell r="A212" t="str">
            <v>2200 2905028028</v>
          </cell>
          <cell r="C212">
            <v>2200</v>
          </cell>
          <cell r="D212">
            <v>2905028028</v>
          </cell>
          <cell r="E212" t="str">
            <v>I/CPay-ArgusDen&amp;Vis</v>
          </cell>
          <cell r="G212">
            <v>0</v>
          </cell>
          <cell r="I212">
            <v>0</v>
          </cell>
          <cell r="K212">
            <v>0</v>
          </cell>
        </row>
        <row r="213">
          <cell r="A213" t="str">
            <v>2200 2905028024</v>
          </cell>
          <cell r="C213">
            <v>2200</v>
          </cell>
          <cell r="D213">
            <v>2905028024</v>
          </cell>
          <cell r="E213" t="str">
            <v>I/Cpay-Empower.Insur</v>
          </cell>
          <cell r="G213">
            <v>0</v>
          </cell>
          <cell r="I213">
            <v>17.170000000000002</v>
          </cell>
          <cell r="K213">
            <v>-17.170000000000002</v>
          </cell>
        </row>
        <row r="214">
          <cell r="A214" t="str">
            <v>2200 2905028015</v>
          </cell>
          <cell r="C214">
            <v>2200</v>
          </cell>
          <cell r="D214">
            <v>2905028015</v>
          </cell>
          <cell r="E214" t="str">
            <v>I/CPay-TOIC</v>
          </cell>
          <cell r="G214">
            <v>0</v>
          </cell>
          <cell r="I214">
            <v>0</v>
          </cell>
          <cell r="K214">
            <v>0</v>
          </cell>
        </row>
        <row r="215">
          <cell r="A215" t="str">
            <v>2200 2905028014</v>
          </cell>
          <cell r="C215">
            <v>2200</v>
          </cell>
          <cell r="D215">
            <v>2905028014</v>
          </cell>
          <cell r="E215" t="str">
            <v>I/CPayNLAC/Aflac Col</v>
          </cell>
          <cell r="G215">
            <v>0</v>
          </cell>
          <cell r="I215">
            <v>2663454.6</v>
          </cell>
          <cell r="K215">
            <v>-2663454.6</v>
          </cell>
        </row>
        <row r="216">
          <cell r="A216" t="str">
            <v>2200 1301080022</v>
          </cell>
          <cell r="C216">
            <v>2200</v>
          </cell>
          <cell r="D216">
            <v>1301080022</v>
          </cell>
          <cell r="E216" t="str">
            <v>I/CRec-AAMLLC</v>
          </cell>
          <cell r="G216">
            <v>26139.08</v>
          </cell>
          <cell r="I216">
            <v>0</v>
          </cell>
          <cell r="K216">
            <v>26139.08</v>
          </cell>
        </row>
        <row r="217">
          <cell r="A217" t="str">
            <v>2200 1301080020</v>
          </cell>
          <cell r="C217">
            <v>2200</v>
          </cell>
          <cell r="D217">
            <v>1301080020</v>
          </cell>
          <cell r="E217" t="str">
            <v>I/CRec-AflacUS/Col</v>
          </cell>
          <cell r="G217">
            <v>4853557.38</v>
          </cell>
          <cell r="I217">
            <v>0</v>
          </cell>
          <cell r="K217">
            <v>4853557.38</v>
          </cell>
        </row>
        <row r="218">
          <cell r="A218" t="str">
            <v>2200 1301080033</v>
          </cell>
          <cell r="C218">
            <v>2200</v>
          </cell>
          <cell r="D218">
            <v>1301080033</v>
          </cell>
          <cell r="E218" t="str">
            <v>I/CRec-ArgusDen&amp;Vis</v>
          </cell>
          <cell r="G218">
            <v>0</v>
          </cell>
          <cell r="I218">
            <v>0</v>
          </cell>
          <cell r="K218">
            <v>0</v>
          </cell>
        </row>
        <row r="219">
          <cell r="A219" t="str">
            <v>2200 1301080021</v>
          </cell>
          <cell r="C219">
            <v>2200</v>
          </cell>
          <cell r="D219">
            <v>1301080021</v>
          </cell>
          <cell r="E219" t="str">
            <v>I/CRec-TOIC</v>
          </cell>
          <cell r="G219">
            <v>104603</v>
          </cell>
          <cell r="I219">
            <v>0</v>
          </cell>
          <cell r="K219">
            <v>104603</v>
          </cell>
        </row>
        <row r="220">
          <cell r="A220" t="str">
            <v>2200 2905028008</v>
          </cell>
          <cell r="C220">
            <v>2200</v>
          </cell>
          <cell r="D220">
            <v>2905028008</v>
          </cell>
          <cell r="E220" t="str">
            <v>ICPayCcorpOrders</v>
          </cell>
          <cell r="G220">
            <v>0</v>
          </cell>
          <cell r="I220">
            <v>61034.46</v>
          </cell>
          <cell r="K220">
            <v>-61034.46</v>
          </cell>
        </row>
        <row r="221">
          <cell r="A221" t="str">
            <v>2200 2905010001</v>
          </cell>
          <cell r="C221">
            <v>2200</v>
          </cell>
          <cell r="D221">
            <v>2905010001</v>
          </cell>
          <cell r="E221" t="str">
            <v>ICPayToAflInc</v>
          </cell>
          <cell r="G221">
            <v>0</v>
          </cell>
          <cell r="I221">
            <v>603678.5</v>
          </cell>
          <cell r="K221">
            <v>-603678.5</v>
          </cell>
        </row>
        <row r="222">
          <cell r="A222" t="str">
            <v>2200 2905028035</v>
          </cell>
          <cell r="C222">
            <v>2200</v>
          </cell>
          <cell r="D222">
            <v>2905028035</v>
          </cell>
          <cell r="E222" t="str">
            <v>ICPayToCAICPFML</v>
          </cell>
          <cell r="G222">
            <v>0</v>
          </cell>
          <cell r="I222">
            <v>15.28</v>
          </cell>
          <cell r="K222">
            <v>-15.28</v>
          </cell>
        </row>
        <row r="223">
          <cell r="A223" t="str">
            <v>2200 2905028001</v>
          </cell>
          <cell r="C223">
            <v>2200</v>
          </cell>
          <cell r="D223">
            <v>2905028001</v>
          </cell>
          <cell r="E223" t="str">
            <v>ICToAflGroup</v>
          </cell>
          <cell r="G223">
            <v>0</v>
          </cell>
          <cell r="I223">
            <v>414733.86</v>
          </cell>
          <cell r="K223">
            <v>-414733.86</v>
          </cell>
        </row>
        <row r="224">
          <cell r="A224" t="str">
            <v>2200 2905036005</v>
          </cell>
          <cell r="C224">
            <v>2200</v>
          </cell>
          <cell r="D224">
            <v>2905036005</v>
          </cell>
          <cell r="E224" t="str">
            <v>IntercoPay ZALICO</v>
          </cell>
          <cell r="G224">
            <v>0</v>
          </cell>
          <cell r="I224">
            <v>4297.2299999999996</v>
          </cell>
          <cell r="K224">
            <v>-4297.2299999999996</v>
          </cell>
        </row>
        <row r="225">
          <cell r="A225" t="str">
            <v>2200 2905036004</v>
          </cell>
          <cell r="C225">
            <v>2200</v>
          </cell>
          <cell r="D225">
            <v>2905036004</v>
          </cell>
          <cell r="E225" t="str">
            <v>IntercoPay ZALICONY</v>
          </cell>
          <cell r="G225">
            <v>0</v>
          </cell>
          <cell r="I225">
            <v>0</v>
          </cell>
          <cell r="K225">
            <v>0</v>
          </cell>
        </row>
        <row r="226">
          <cell r="A226" t="str">
            <v>2200 1301110009</v>
          </cell>
          <cell r="C226">
            <v>2200</v>
          </cell>
          <cell r="D226">
            <v>1301110009</v>
          </cell>
          <cell r="E226" t="str">
            <v>IntercoRec ABA TMK</v>
          </cell>
          <cell r="G226">
            <v>25.34</v>
          </cell>
          <cell r="I226">
            <v>0</v>
          </cell>
          <cell r="K226">
            <v>25.34</v>
          </cell>
        </row>
        <row r="227">
          <cell r="A227" t="str">
            <v>2200 1301180005</v>
          </cell>
          <cell r="C227">
            <v>2200</v>
          </cell>
          <cell r="D227">
            <v>1301180005</v>
          </cell>
          <cell r="E227" t="str">
            <v>IntercoRec ZALICO</v>
          </cell>
          <cell r="G227">
            <v>0</v>
          </cell>
          <cell r="I227">
            <v>0</v>
          </cell>
          <cell r="K227">
            <v>0</v>
          </cell>
        </row>
        <row r="228">
          <cell r="A228" t="str">
            <v>2200 1301180004</v>
          </cell>
          <cell r="C228">
            <v>2200</v>
          </cell>
          <cell r="D228">
            <v>1301180004</v>
          </cell>
          <cell r="E228" t="str">
            <v>IntercoRec ZALICONY</v>
          </cell>
          <cell r="G228">
            <v>7641.95</v>
          </cell>
          <cell r="I228">
            <v>0</v>
          </cell>
          <cell r="K228">
            <v>7641.95</v>
          </cell>
        </row>
        <row r="229">
          <cell r="A229" t="str">
            <v>2200 1301190006</v>
          </cell>
          <cell r="C229">
            <v>2200</v>
          </cell>
          <cell r="D229">
            <v>1301190006</v>
          </cell>
          <cell r="E229" t="str">
            <v>RecReinsAmtsRecov</v>
          </cell>
          <cell r="G229">
            <v>0</v>
          </cell>
          <cell r="I229">
            <v>0</v>
          </cell>
          <cell r="K229">
            <v>0</v>
          </cell>
        </row>
        <row r="230">
          <cell r="A230" t="str">
            <v>2200 1301190011</v>
          </cell>
          <cell r="C230">
            <v>2200</v>
          </cell>
          <cell r="D230">
            <v>1301190011</v>
          </cell>
          <cell r="E230" t="str">
            <v>RecReinsAR-PLADS</v>
          </cell>
          <cell r="G230">
            <v>564000</v>
          </cell>
          <cell r="I230">
            <v>0</v>
          </cell>
          <cell r="K230">
            <v>564000</v>
          </cell>
        </row>
        <row r="231">
          <cell r="A231" t="str">
            <v>2300 1301080020</v>
          </cell>
          <cell r="C231">
            <v>2300</v>
          </cell>
          <cell r="D231">
            <v>1301080020</v>
          </cell>
          <cell r="E231" t="str">
            <v>I/CRec-AflacUS/Col</v>
          </cell>
          <cell r="G231">
            <v>0</v>
          </cell>
          <cell r="I231">
            <v>28294181.27</v>
          </cell>
          <cell r="K231">
            <v>-28294181.27</v>
          </cell>
        </row>
        <row r="232">
          <cell r="A232" t="str">
            <v>2300 2905021009</v>
          </cell>
          <cell r="C232">
            <v>2300</v>
          </cell>
          <cell r="D232">
            <v>2905021009</v>
          </cell>
          <cell r="E232" t="str">
            <v>ICPayToAflColFund</v>
          </cell>
          <cell r="G232">
            <v>49025422.479999997</v>
          </cell>
          <cell r="I232">
            <v>0</v>
          </cell>
          <cell r="K232">
            <v>49025422.479999997</v>
          </cell>
        </row>
        <row r="233">
          <cell r="A233" t="str">
            <v>2400 1301190019</v>
          </cell>
          <cell r="C233">
            <v>2400</v>
          </cell>
          <cell r="D233">
            <v>1301190019</v>
          </cell>
          <cell r="E233" t="str">
            <v>FSCDOthReinRecCeded</v>
          </cell>
          <cell r="G233">
            <v>0</v>
          </cell>
          <cell r="I233">
            <v>0</v>
          </cell>
          <cell r="K233">
            <v>0</v>
          </cell>
        </row>
        <row r="234">
          <cell r="A234" t="str">
            <v>2400 1301190012</v>
          </cell>
          <cell r="C234">
            <v>2400</v>
          </cell>
          <cell r="D234">
            <v>1301190012</v>
          </cell>
          <cell r="E234" t="str">
            <v>FSCDReinClaimCeded</v>
          </cell>
          <cell r="G234">
            <v>399008.17</v>
          </cell>
          <cell r="I234">
            <v>0</v>
          </cell>
          <cell r="K234">
            <v>399008.17</v>
          </cell>
        </row>
        <row r="235">
          <cell r="A235" t="str">
            <v>2400 1301190205</v>
          </cell>
          <cell r="C235">
            <v>2400</v>
          </cell>
          <cell r="D235">
            <v>1301190205</v>
          </cell>
          <cell r="E235" t="str">
            <v>FSCDReinClmS/DepGCed</v>
          </cell>
          <cell r="G235">
            <v>0</v>
          </cell>
          <cell r="I235">
            <v>0</v>
          </cell>
          <cell r="K235">
            <v>0</v>
          </cell>
        </row>
        <row r="236">
          <cell r="A236" t="str">
            <v>2400 1301113100</v>
          </cell>
          <cell r="C236">
            <v>2400</v>
          </cell>
          <cell r="D236">
            <v>1301113100</v>
          </cell>
          <cell r="E236" t="str">
            <v>I/C Aflac Japan</v>
          </cell>
          <cell r="G236">
            <v>0</v>
          </cell>
          <cell r="I236">
            <v>0</v>
          </cell>
          <cell r="K236">
            <v>0</v>
          </cell>
        </row>
        <row r="237">
          <cell r="A237" t="str">
            <v>2400 1301120001</v>
          </cell>
          <cell r="C237">
            <v>2400</v>
          </cell>
          <cell r="D237">
            <v>1301120001</v>
          </cell>
          <cell r="E237" t="str">
            <v>I/C Rec Ccorp</v>
          </cell>
          <cell r="G237">
            <v>16036197.76</v>
          </cell>
          <cell r="I237">
            <v>0</v>
          </cell>
          <cell r="K237">
            <v>16036197.76</v>
          </cell>
        </row>
        <row r="238">
          <cell r="A238" t="str">
            <v>2400 1301080004</v>
          </cell>
          <cell r="C238">
            <v>2400</v>
          </cell>
          <cell r="D238">
            <v>1301080004</v>
          </cell>
          <cell r="E238" t="str">
            <v>I/CAflacGroup</v>
          </cell>
          <cell r="G238">
            <v>4398703.84</v>
          </cell>
          <cell r="I238">
            <v>0</v>
          </cell>
          <cell r="K238">
            <v>4398703.84</v>
          </cell>
        </row>
        <row r="239">
          <cell r="A239" t="str">
            <v>2400 1301150001</v>
          </cell>
          <cell r="C239">
            <v>2400</v>
          </cell>
          <cell r="D239">
            <v>1301150001</v>
          </cell>
          <cell r="E239" t="str">
            <v>I/CAflacInt'l</v>
          </cell>
          <cell r="G239">
            <v>25842.59</v>
          </cell>
          <cell r="I239">
            <v>0</v>
          </cell>
          <cell r="K239">
            <v>25842.59</v>
          </cell>
        </row>
        <row r="240">
          <cell r="A240" t="str">
            <v>2400 1301120004</v>
          </cell>
          <cell r="C240">
            <v>2400</v>
          </cell>
          <cell r="D240">
            <v>1301120004</v>
          </cell>
          <cell r="E240" t="str">
            <v>I/CAFLACIT</v>
          </cell>
          <cell r="G240">
            <v>20836.36</v>
          </cell>
          <cell r="I240">
            <v>0</v>
          </cell>
          <cell r="K240">
            <v>20836.36</v>
          </cell>
        </row>
        <row r="241">
          <cell r="A241" t="str">
            <v>2400 1301100001</v>
          </cell>
          <cell r="C241">
            <v>2400</v>
          </cell>
          <cell r="D241">
            <v>1301100001</v>
          </cell>
          <cell r="E241" t="str">
            <v>I/CAFLACJapan</v>
          </cell>
          <cell r="G241">
            <v>0</v>
          </cell>
          <cell r="I241">
            <v>0</v>
          </cell>
          <cell r="K241">
            <v>0</v>
          </cell>
        </row>
        <row r="242">
          <cell r="A242" t="str">
            <v>2400 1301080003</v>
          </cell>
          <cell r="C242">
            <v>2400</v>
          </cell>
          <cell r="D242">
            <v>1301080003</v>
          </cell>
          <cell r="E242" t="str">
            <v>I/CAflacNY</v>
          </cell>
          <cell r="G242">
            <v>2663454.6</v>
          </cell>
          <cell r="I242">
            <v>0</v>
          </cell>
          <cell r="K242">
            <v>2663454.6</v>
          </cell>
        </row>
        <row r="243">
          <cell r="A243" t="str">
            <v>2400 1301080040</v>
          </cell>
          <cell r="C243">
            <v>2400</v>
          </cell>
          <cell r="D243">
            <v>1301080040</v>
          </cell>
          <cell r="E243" t="str">
            <v>I/CCAICPFML</v>
          </cell>
          <cell r="G243">
            <v>676782.11</v>
          </cell>
          <cell r="I243">
            <v>0</v>
          </cell>
          <cell r="K243">
            <v>676782.11</v>
          </cell>
        </row>
        <row r="244">
          <cell r="A244" t="str">
            <v>2400 1301180002</v>
          </cell>
          <cell r="C244">
            <v>2400</v>
          </cell>
          <cell r="D244">
            <v>1301180002</v>
          </cell>
          <cell r="E244" t="str">
            <v>I/CColRetro(2450)</v>
          </cell>
          <cell r="G244">
            <v>40407794.270000003</v>
          </cell>
          <cell r="I244">
            <v>0</v>
          </cell>
          <cell r="K244">
            <v>40407794.270000003</v>
          </cell>
        </row>
        <row r="245">
          <cell r="A245" t="str">
            <v>2400 1301080008</v>
          </cell>
          <cell r="C245">
            <v>2400</v>
          </cell>
          <cell r="D245">
            <v>1301080008</v>
          </cell>
          <cell r="E245" t="str">
            <v>I/CColSTPbl</v>
          </cell>
          <cell r="G245">
            <v>0</v>
          </cell>
          <cell r="I245">
            <v>3308.31</v>
          </cell>
          <cell r="K245">
            <v>-3308.31</v>
          </cell>
        </row>
        <row r="246">
          <cell r="A246" t="str">
            <v>2400 1301120003</v>
          </cell>
          <cell r="C246">
            <v>2400</v>
          </cell>
          <cell r="D246">
            <v>1301120003</v>
          </cell>
          <cell r="E246" t="str">
            <v>I/CDuckGearOrders</v>
          </cell>
          <cell r="G246">
            <v>0</v>
          </cell>
          <cell r="I246">
            <v>0</v>
          </cell>
          <cell r="K246">
            <v>0</v>
          </cell>
        </row>
        <row r="247">
          <cell r="A247" t="str">
            <v>2400 1301110001</v>
          </cell>
          <cell r="C247">
            <v>2400</v>
          </cell>
          <cell r="D247">
            <v>1301110001</v>
          </cell>
          <cell r="E247" t="str">
            <v>I/CInc</v>
          </cell>
          <cell r="G247">
            <v>8572162.6500000004</v>
          </cell>
          <cell r="I247">
            <v>0</v>
          </cell>
          <cell r="K247">
            <v>8572162.6500000004</v>
          </cell>
        </row>
        <row r="248">
          <cell r="A248" t="str">
            <v>2400 1301110004</v>
          </cell>
          <cell r="C248">
            <v>2400</v>
          </cell>
          <cell r="D248">
            <v>1301110004</v>
          </cell>
          <cell r="E248" t="str">
            <v>I/CoRecABS</v>
          </cell>
          <cell r="G248">
            <v>0</v>
          </cell>
          <cell r="I248">
            <v>0</v>
          </cell>
          <cell r="K248">
            <v>0</v>
          </cell>
        </row>
        <row r="249">
          <cell r="A249" t="str">
            <v>2400 2905028016</v>
          </cell>
          <cell r="C249">
            <v>2400</v>
          </cell>
          <cell r="D249">
            <v>2905028016</v>
          </cell>
          <cell r="E249" t="str">
            <v>I/CPay-AAMLLC</v>
          </cell>
          <cell r="G249">
            <v>0</v>
          </cell>
          <cell r="I249">
            <v>1690.01</v>
          </cell>
          <cell r="K249">
            <v>-1690.01</v>
          </cell>
        </row>
        <row r="250">
          <cell r="A250" t="str">
            <v>2400 2905028018</v>
          </cell>
          <cell r="C250">
            <v>2400</v>
          </cell>
          <cell r="D250">
            <v>2905028018</v>
          </cell>
          <cell r="E250" t="str">
            <v>I/CPay-AflaccorpVent</v>
          </cell>
          <cell r="G250">
            <v>0</v>
          </cell>
          <cell r="I250">
            <v>0</v>
          </cell>
          <cell r="K250">
            <v>0</v>
          </cell>
        </row>
        <row r="251">
          <cell r="A251" t="str">
            <v>2400 2905028028</v>
          </cell>
          <cell r="C251">
            <v>2400</v>
          </cell>
          <cell r="D251">
            <v>2905028028</v>
          </cell>
          <cell r="E251" t="str">
            <v>I/CPay-ArgusDen&amp;Vis</v>
          </cell>
          <cell r="G251">
            <v>0</v>
          </cell>
          <cell r="I251">
            <v>1337785.55</v>
          </cell>
          <cell r="K251">
            <v>-1337785.55</v>
          </cell>
        </row>
        <row r="252">
          <cell r="A252" t="str">
            <v>2400 2905028024</v>
          </cell>
          <cell r="C252">
            <v>2400</v>
          </cell>
          <cell r="D252">
            <v>2905028024</v>
          </cell>
          <cell r="E252" t="str">
            <v>I/Cpay-Empower.Insur</v>
          </cell>
          <cell r="G252">
            <v>0</v>
          </cell>
          <cell r="I252">
            <v>167.58</v>
          </cell>
          <cell r="K252">
            <v>-167.58</v>
          </cell>
        </row>
        <row r="253">
          <cell r="A253" t="str">
            <v>2400 2905028025</v>
          </cell>
          <cell r="C253">
            <v>2400</v>
          </cell>
          <cell r="D253">
            <v>2905028025</v>
          </cell>
          <cell r="E253" t="str">
            <v>I/CPay-InfoSecSvcs</v>
          </cell>
          <cell r="G253">
            <v>0</v>
          </cell>
          <cell r="I253">
            <v>0</v>
          </cell>
          <cell r="K253">
            <v>0</v>
          </cell>
        </row>
        <row r="254">
          <cell r="A254" t="str">
            <v>2400 2905028015</v>
          </cell>
          <cell r="C254">
            <v>2400</v>
          </cell>
          <cell r="D254">
            <v>2905028015</v>
          </cell>
          <cell r="E254" t="str">
            <v>I/CPay-TOIC</v>
          </cell>
          <cell r="G254">
            <v>0</v>
          </cell>
          <cell r="I254">
            <v>2095841.62</v>
          </cell>
          <cell r="K254">
            <v>-2095841.62</v>
          </cell>
        </row>
        <row r="255">
          <cell r="A255" t="str">
            <v>2400 2905028011</v>
          </cell>
          <cell r="C255">
            <v>2400</v>
          </cell>
          <cell r="D255">
            <v>2905028011</v>
          </cell>
          <cell r="E255" t="str">
            <v>I/CPayEB(1510)</v>
          </cell>
          <cell r="G255">
            <v>0</v>
          </cell>
          <cell r="I255">
            <v>0</v>
          </cell>
          <cell r="K255">
            <v>0</v>
          </cell>
        </row>
        <row r="256">
          <cell r="A256" t="str">
            <v>2400 1301080022</v>
          </cell>
          <cell r="C256">
            <v>2400</v>
          </cell>
          <cell r="D256">
            <v>1301080022</v>
          </cell>
          <cell r="E256" t="str">
            <v>I/CRec-AAMLLC</v>
          </cell>
          <cell r="G256">
            <v>245731.78</v>
          </cell>
          <cell r="I256">
            <v>0</v>
          </cell>
          <cell r="K256">
            <v>245731.78</v>
          </cell>
        </row>
        <row r="257">
          <cell r="A257" t="str">
            <v>2400 1301080018</v>
          </cell>
          <cell r="C257">
            <v>2400</v>
          </cell>
          <cell r="D257">
            <v>1301080018</v>
          </cell>
          <cell r="E257" t="str">
            <v>I/CRec-AflacCorpVent</v>
          </cell>
          <cell r="G257">
            <v>121514.9</v>
          </cell>
          <cell r="I257">
            <v>0</v>
          </cell>
          <cell r="K257">
            <v>121514.9</v>
          </cell>
        </row>
        <row r="258">
          <cell r="A258" t="str">
            <v>2400 1301080019</v>
          </cell>
          <cell r="C258">
            <v>2400</v>
          </cell>
          <cell r="D258">
            <v>1301080019</v>
          </cell>
          <cell r="E258" t="str">
            <v>I/CRec-AflacVentures</v>
          </cell>
          <cell r="G258">
            <v>105</v>
          </cell>
          <cell r="I258">
            <v>0</v>
          </cell>
          <cell r="K258">
            <v>105</v>
          </cell>
        </row>
        <row r="259">
          <cell r="A259" t="str">
            <v>2400 1301080025</v>
          </cell>
          <cell r="C259">
            <v>2400</v>
          </cell>
          <cell r="D259">
            <v>1301080025</v>
          </cell>
          <cell r="E259" t="str">
            <v>I/CRec-AFLVentSeedFd</v>
          </cell>
          <cell r="G259">
            <v>105</v>
          </cell>
          <cell r="I259">
            <v>0</v>
          </cell>
          <cell r="K259">
            <v>105</v>
          </cell>
        </row>
        <row r="260">
          <cell r="A260" t="str">
            <v>2400 1301080033</v>
          </cell>
          <cell r="C260">
            <v>2400</v>
          </cell>
          <cell r="D260">
            <v>1301080033</v>
          </cell>
          <cell r="E260" t="str">
            <v>I/CRec-ArgusDen&amp;Vis</v>
          </cell>
          <cell r="G260">
            <v>721260.75</v>
          </cell>
          <cell r="I260">
            <v>0</v>
          </cell>
          <cell r="K260">
            <v>721260.75</v>
          </cell>
        </row>
        <row r="261">
          <cell r="A261" t="str">
            <v>2400 1301080029</v>
          </cell>
          <cell r="C261">
            <v>2400</v>
          </cell>
          <cell r="D261">
            <v>1301080029</v>
          </cell>
          <cell r="E261" t="str">
            <v>I/CRec-Empower.Insur</v>
          </cell>
          <cell r="G261">
            <v>219163.63</v>
          </cell>
          <cell r="I261">
            <v>0</v>
          </cell>
          <cell r="K261">
            <v>219163.63</v>
          </cell>
        </row>
        <row r="262">
          <cell r="A262" t="str">
            <v>2400 1301080030</v>
          </cell>
          <cell r="C262">
            <v>2400</v>
          </cell>
          <cell r="D262">
            <v>1301080030</v>
          </cell>
          <cell r="E262" t="str">
            <v>I/CRec-InfoSecSvcs</v>
          </cell>
          <cell r="G262">
            <v>729</v>
          </cell>
          <cell r="I262">
            <v>0</v>
          </cell>
          <cell r="K262">
            <v>729</v>
          </cell>
        </row>
        <row r="263">
          <cell r="A263" t="str">
            <v>2400 1301080034</v>
          </cell>
          <cell r="C263">
            <v>2400</v>
          </cell>
          <cell r="D263">
            <v>1301080034</v>
          </cell>
          <cell r="E263" t="str">
            <v>I/CRec-Simple Tech</v>
          </cell>
          <cell r="G263">
            <v>0</v>
          </cell>
          <cell r="I263">
            <v>0</v>
          </cell>
          <cell r="K263">
            <v>0</v>
          </cell>
        </row>
        <row r="264">
          <cell r="A264" t="str">
            <v>2400 1301080021</v>
          </cell>
          <cell r="C264">
            <v>2400</v>
          </cell>
          <cell r="D264">
            <v>1301080021</v>
          </cell>
          <cell r="E264" t="str">
            <v>I/CRec-TOIC</v>
          </cell>
          <cell r="G264">
            <v>3464104.79</v>
          </cell>
          <cell r="I264">
            <v>0</v>
          </cell>
          <cell r="K264">
            <v>3464104.79</v>
          </cell>
        </row>
        <row r="265">
          <cell r="A265" t="str">
            <v>2400 1301080017</v>
          </cell>
          <cell r="C265">
            <v>2400</v>
          </cell>
          <cell r="D265">
            <v>1301080017</v>
          </cell>
          <cell r="E265" t="str">
            <v>I/CRecEB(1510)</v>
          </cell>
          <cell r="G265">
            <v>0</v>
          </cell>
          <cell r="I265">
            <v>0</v>
          </cell>
          <cell r="K265">
            <v>0</v>
          </cell>
        </row>
        <row r="266">
          <cell r="A266" t="str">
            <v>2400 1301110003</v>
          </cell>
          <cell r="C266">
            <v>2400</v>
          </cell>
          <cell r="D266">
            <v>1301110003</v>
          </cell>
          <cell r="E266" t="str">
            <v>ICIntRecIncAccr</v>
          </cell>
          <cell r="G266">
            <v>0</v>
          </cell>
          <cell r="I266">
            <v>0</v>
          </cell>
          <cell r="K266">
            <v>0</v>
          </cell>
        </row>
        <row r="267">
          <cell r="A267" t="str">
            <v>2400 2905028008</v>
          </cell>
          <cell r="C267">
            <v>2400</v>
          </cell>
          <cell r="D267">
            <v>2905028008</v>
          </cell>
          <cell r="E267" t="str">
            <v>ICPayCcorpOrders</v>
          </cell>
          <cell r="G267">
            <v>0</v>
          </cell>
          <cell r="I267">
            <v>796172.5</v>
          </cell>
          <cell r="K267">
            <v>-796172.5</v>
          </cell>
        </row>
        <row r="268">
          <cell r="A268" t="str">
            <v>2400 2905028006</v>
          </cell>
          <cell r="C268">
            <v>2400</v>
          </cell>
          <cell r="D268">
            <v>2905028006</v>
          </cell>
          <cell r="E268" t="str">
            <v>ICPayToAflacBenInc</v>
          </cell>
          <cell r="G268">
            <v>0</v>
          </cell>
          <cell r="I268">
            <v>1125</v>
          </cell>
          <cell r="K268">
            <v>-1125</v>
          </cell>
        </row>
        <row r="269">
          <cell r="A269" t="str">
            <v>2400 2905021008</v>
          </cell>
          <cell r="C269">
            <v>2400</v>
          </cell>
          <cell r="D269">
            <v>2905021008</v>
          </cell>
          <cell r="E269" t="str">
            <v>ICPayToAflacCol</v>
          </cell>
          <cell r="G269">
            <v>0</v>
          </cell>
          <cell r="I269">
            <v>0</v>
          </cell>
          <cell r="K269">
            <v>0</v>
          </cell>
        </row>
        <row r="270">
          <cell r="A270" t="str">
            <v>2400 2905010001</v>
          </cell>
          <cell r="C270">
            <v>2400</v>
          </cell>
          <cell r="D270">
            <v>2905010001</v>
          </cell>
          <cell r="E270" t="str">
            <v>ICPayToAflInc</v>
          </cell>
          <cell r="G270">
            <v>0</v>
          </cell>
          <cell r="I270">
            <v>4539089.0999999996</v>
          </cell>
          <cell r="K270">
            <v>-4539089.0999999996</v>
          </cell>
        </row>
        <row r="271">
          <cell r="A271" t="str">
            <v>2400 2905024001</v>
          </cell>
          <cell r="C271">
            <v>2400</v>
          </cell>
          <cell r="D271">
            <v>2905024001</v>
          </cell>
          <cell r="E271" t="str">
            <v>ICPayToAflIntlUS</v>
          </cell>
          <cell r="G271">
            <v>0</v>
          </cell>
          <cell r="I271">
            <v>3276.32</v>
          </cell>
          <cell r="K271">
            <v>-3276.32</v>
          </cell>
        </row>
        <row r="272">
          <cell r="A272" t="str">
            <v>2400 2905031001</v>
          </cell>
          <cell r="C272">
            <v>2400</v>
          </cell>
          <cell r="D272">
            <v>2905031001</v>
          </cell>
          <cell r="E272" t="str">
            <v>ICPayToAflJap</v>
          </cell>
          <cell r="G272">
            <v>0</v>
          </cell>
          <cell r="I272">
            <v>0</v>
          </cell>
          <cell r="K272">
            <v>0</v>
          </cell>
        </row>
        <row r="273">
          <cell r="A273" t="str">
            <v>2400 2905022005</v>
          </cell>
          <cell r="C273">
            <v>2400</v>
          </cell>
          <cell r="D273">
            <v>2905022005</v>
          </cell>
          <cell r="E273" t="str">
            <v>ICPayToAflNY</v>
          </cell>
          <cell r="G273">
            <v>0</v>
          </cell>
          <cell r="I273">
            <v>4853557.38</v>
          </cell>
          <cell r="K273">
            <v>-4853557.38</v>
          </cell>
        </row>
        <row r="274">
          <cell r="A274" t="str">
            <v>2400 2905028003</v>
          </cell>
          <cell r="C274">
            <v>2400</v>
          </cell>
          <cell r="D274">
            <v>2905028003</v>
          </cell>
          <cell r="E274" t="str">
            <v>ICPayToAITPay</v>
          </cell>
          <cell r="G274">
            <v>0</v>
          </cell>
          <cell r="I274">
            <v>45000</v>
          </cell>
          <cell r="K274">
            <v>-45000</v>
          </cell>
        </row>
        <row r="275">
          <cell r="A275" t="str">
            <v>2400 2905028035</v>
          </cell>
          <cell r="C275">
            <v>2400</v>
          </cell>
          <cell r="D275">
            <v>2905028035</v>
          </cell>
          <cell r="E275" t="str">
            <v>ICPayToCAICPFML</v>
          </cell>
          <cell r="G275">
            <v>0</v>
          </cell>
          <cell r="I275">
            <v>1169351.56</v>
          </cell>
          <cell r="K275">
            <v>-1169351.56</v>
          </cell>
        </row>
        <row r="276">
          <cell r="A276" t="str">
            <v>2400 2905028002</v>
          </cell>
          <cell r="C276">
            <v>2400</v>
          </cell>
          <cell r="D276">
            <v>2905028002</v>
          </cell>
          <cell r="E276" t="str">
            <v>ICPaytoCcorp</v>
          </cell>
          <cell r="G276">
            <v>0</v>
          </cell>
          <cell r="I276">
            <v>14512311.289999999</v>
          </cell>
          <cell r="K276">
            <v>-14512311.289999999</v>
          </cell>
        </row>
        <row r="277">
          <cell r="A277" t="str">
            <v>2400 2905023006</v>
          </cell>
          <cell r="C277">
            <v>2400</v>
          </cell>
          <cell r="D277">
            <v>2905023006</v>
          </cell>
          <cell r="E277" t="str">
            <v>ICPayToHK</v>
          </cell>
          <cell r="G277">
            <v>1001515.38</v>
          </cell>
          <cell r="I277">
            <v>0</v>
          </cell>
          <cell r="K277">
            <v>1001515.38</v>
          </cell>
        </row>
        <row r="278">
          <cell r="A278" t="str">
            <v>2400 1301120007</v>
          </cell>
          <cell r="C278">
            <v>2400</v>
          </cell>
          <cell r="D278">
            <v>1301120007</v>
          </cell>
          <cell r="E278" t="str">
            <v>ICRecCCorpPrintOrd</v>
          </cell>
          <cell r="G278">
            <v>0</v>
          </cell>
          <cell r="I278">
            <v>0</v>
          </cell>
          <cell r="K278">
            <v>0</v>
          </cell>
        </row>
        <row r="279">
          <cell r="A279" t="str">
            <v>2400 2905028001</v>
          </cell>
          <cell r="C279">
            <v>2400</v>
          </cell>
          <cell r="D279">
            <v>2905028001</v>
          </cell>
          <cell r="E279" t="str">
            <v>ICToAflGroup</v>
          </cell>
          <cell r="G279">
            <v>0</v>
          </cell>
          <cell r="I279">
            <v>2385885.65</v>
          </cell>
          <cell r="K279">
            <v>-2385885.65</v>
          </cell>
        </row>
        <row r="280">
          <cell r="A280" t="str">
            <v>2400 1301080027</v>
          </cell>
          <cell r="C280">
            <v>2400</v>
          </cell>
          <cell r="D280">
            <v>1301080027</v>
          </cell>
          <cell r="E280" t="str">
            <v>Interco Rec NIO</v>
          </cell>
          <cell r="G280">
            <v>68205.91</v>
          </cell>
          <cell r="I280">
            <v>0</v>
          </cell>
          <cell r="K280">
            <v>68205.91</v>
          </cell>
        </row>
        <row r="281">
          <cell r="A281" t="str">
            <v>2400 2905028036</v>
          </cell>
          <cell r="C281">
            <v>2400</v>
          </cell>
          <cell r="D281">
            <v>2905028036</v>
          </cell>
          <cell r="E281" t="str">
            <v>IntercoPay AflacReBe</v>
          </cell>
          <cell r="G281">
            <v>0</v>
          </cell>
          <cell r="I281">
            <v>27417.67</v>
          </cell>
          <cell r="K281">
            <v>-27417.67</v>
          </cell>
        </row>
        <row r="282">
          <cell r="A282" t="str">
            <v>2400 2905036005</v>
          </cell>
          <cell r="C282">
            <v>2400</v>
          </cell>
          <cell r="D282">
            <v>2905036005</v>
          </cell>
          <cell r="E282" t="str">
            <v>IntercoPay ZALICO</v>
          </cell>
          <cell r="G282">
            <v>0</v>
          </cell>
          <cell r="I282">
            <v>10638.44</v>
          </cell>
          <cell r="K282">
            <v>-10638.44</v>
          </cell>
        </row>
        <row r="283">
          <cell r="A283" t="str">
            <v>2400 2905036004</v>
          </cell>
          <cell r="C283">
            <v>2400</v>
          </cell>
          <cell r="D283">
            <v>2905036004</v>
          </cell>
          <cell r="E283" t="str">
            <v>IntercoPay ZALICONY</v>
          </cell>
          <cell r="G283">
            <v>0</v>
          </cell>
          <cell r="I283">
            <v>0</v>
          </cell>
          <cell r="K283">
            <v>0</v>
          </cell>
        </row>
        <row r="284">
          <cell r="A284" t="str">
            <v>2400 1301080041</v>
          </cell>
          <cell r="C284">
            <v>2400</v>
          </cell>
          <cell r="D284">
            <v>1301080041</v>
          </cell>
          <cell r="E284" t="str">
            <v>IntercoRec AflacReBe</v>
          </cell>
          <cell r="G284">
            <v>2502385.17</v>
          </cell>
          <cell r="I284">
            <v>0</v>
          </cell>
          <cell r="K284">
            <v>2502385.17</v>
          </cell>
        </row>
        <row r="285">
          <cell r="A285" t="str">
            <v>2400 1301180005</v>
          </cell>
          <cell r="C285">
            <v>2400</v>
          </cell>
          <cell r="D285">
            <v>1301180005</v>
          </cell>
          <cell r="E285" t="str">
            <v>IntercoRec ZALICO</v>
          </cell>
          <cell r="G285">
            <v>13500</v>
          </cell>
          <cell r="I285">
            <v>0</v>
          </cell>
          <cell r="K285">
            <v>13500</v>
          </cell>
        </row>
        <row r="286">
          <cell r="A286" t="str">
            <v>2400 1301180004</v>
          </cell>
          <cell r="C286">
            <v>2400</v>
          </cell>
          <cell r="D286">
            <v>1301180004</v>
          </cell>
          <cell r="E286" t="str">
            <v>IntercoRec ZALICONY</v>
          </cell>
          <cell r="G286">
            <v>0</v>
          </cell>
          <cell r="I286">
            <v>0</v>
          </cell>
          <cell r="K286">
            <v>0</v>
          </cell>
        </row>
        <row r="287">
          <cell r="A287" t="str">
            <v>2400 1301190006</v>
          </cell>
          <cell r="C287">
            <v>2400</v>
          </cell>
          <cell r="D287">
            <v>1301190006</v>
          </cell>
          <cell r="E287" t="str">
            <v>RecReinsAmtsRecov</v>
          </cell>
          <cell r="G287">
            <v>463482.39</v>
          </cell>
          <cell r="I287">
            <v>0</v>
          </cell>
          <cell r="K287">
            <v>463482.39</v>
          </cell>
        </row>
        <row r="288">
          <cell r="A288" t="str">
            <v>2400 1301190011</v>
          </cell>
          <cell r="C288">
            <v>2400</v>
          </cell>
          <cell r="D288">
            <v>1301190011</v>
          </cell>
          <cell r="E288" t="str">
            <v>RecReinsAR-PLADS</v>
          </cell>
          <cell r="G288">
            <v>18801.03</v>
          </cell>
          <cell r="I288">
            <v>0</v>
          </cell>
          <cell r="K288">
            <v>18801.03</v>
          </cell>
        </row>
        <row r="289">
          <cell r="A289" t="str">
            <v>2400 1301190001</v>
          </cell>
          <cell r="C289">
            <v>2400</v>
          </cell>
          <cell r="D289">
            <v>1301190001</v>
          </cell>
          <cell r="E289" t="str">
            <v>RecReinsClaim</v>
          </cell>
          <cell r="G289">
            <v>0</v>
          </cell>
          <cell r="I289">
            <v>41366.910000000003</v>
          </cell>
          <cell r="K289">
            <v>-41366.910000000003</v>
          </cell>
        </row>
        <row r="290">
          <cell r="A290" t="str">
            <v>2450 1301190207</v>
          </cell>
          <cell r="C290">
            <v>2450</v>
          </cell>
          <cell r="D290">
            <v>1301190207</v>
          </cell>
          <cell r="E290" t="str">
            <v>FSCDSettleDiff</v>
          </cell>
          <cell r="G290">
            <v>19521.400000000001</v>
          </cell>
          <cell r="I290">
            <v>0</v>
          </cell>
          <cell r="K290">
            <v>19521.400000000001</v>
          </cell>
        </row>
        <row r="291">
          <cell r="A291" t="str">
            <v>2450 1301110001</v>
          </cell>
          <cell r="C291">
            <v>2450</v>
          </cell>
          <cell r="D291">
            <v>1301110001</v>
          </cell>
          <cell r="E291" t="str">
            <v>I/CInc</v>
          </cell>
          <cell r="G291">
            <v>155784</v>
          </cell>
          <cell r="I291">
            <v>0</v>
          </cell>
          <cell r="K291">
            <v>155784</v>
          </cell>
        </row>
        <row r="292">
          <cell r="A292" t="str">
            <v>2450 2905028014</v>
          </cell>
          <cell r="C292">
            <v>2450</v>
          </cell>
          <cell r="D292">
            <v>2905028014</v>
          </cell>
          <cell r="E292" t="str">
            <v>I/CPayNLAC/Aflac Col</v>
          </cell>
          <cell r="G292">
            <v>0</v>
          </cell>
          <cell r="I292">
            <v>40407794.270000003</v>
          </cell>
          <cell r="K292">
            <v>-40407794.270000003</v>
          </cell>
        </row>
        <row r="293">
          <cell r="A293" t="str">
            <v>2450 2905010001</v>
          </cell>
          <cell r="C293">
            <v>2450</v>
          </cell>
          <cell r="D293">
            <v>2905010001</v>
          </cell>
          <cell r="E293" t="str">
            <v>ICPayToAflInc</v>
          </cell>
          <cell r="G293">
            <v>0</v>
          </cell>
          <cell r="I293">
            <v>402266</v>
          </cell>
          <cell r="K293">
            <v>-402266</v>
          </cell>
        </row>
        <row r="294">
          <cell r="A294" t="str">
            <v>2450 2905028001</v>
          </cell>
          <cell r="C294">
            <v>2450</v>
          </cell>
          <cell r="D294">
            <v>2905028001</v>
          </cell>
          <cell r="E294" t="str">
            <v>ICToAflGroup</v>
          </cell>
          <cell r="G294">
            <v>28908951.760000002</v>
          </cell>
          <cell r="I294">
            <v>0</v>
          </cell>
          <cell r="K294">
            <v>28908951.760000002</v>
          </cell>
        </row>
        <row r="295">
          <cell r="A295" t="str">
            <v>2450 1301190201</v>
          </cell>
          <cell r="C295">
            <v>2450</v>
          </cell>
          <cell r="D295">
            <v>1301190201</v>
          </cell>
          <cell r="E295" t="str">
            <v>RecReinRenAssumedTR2</v>
          </cell>
          <cell r="G295">
            <v>0</v>
          </cell>
          <cell r="I295">
            <v>45829824.170000002</v>
          </cell>
          <cell r="K295">
            <v>-45829824.170000002</v>
          </cell>
        </row>
        <row r="296">
          <cell r="A296" t="str">
            <v>2450 1301190202</v>
          </cell>
          <cell r="C296">
            <v>2450</v>
          </cell>
          <cell r="D296">
            <v>1301190202</v>
          </cell>
          <cell r="E296" t="str">
            <v>RecReinRenAssumedTR3</v>
          </cell>
          <cell r="G296">
            <v>0</v>
          </cell>
          <cell r="I296">
            <v>84500905.280000001</v>
          </cell>
          <cell r="K296">
            <v>-84500905.280000001</v>
          </cell>
        </row>
        <row r="297">
          <cell r="A297" t="str">
            <v>2500 1301190019</v>
          </cell>
          <cell r="C297">
            <v>2500</v>
          </cell>
          <cell r="D297">
            <v>1301190019</v>
          </cell>
          <cell r="E297" t="str">
            <v>FSCDOthReinRecCeded</v>
          </cell>
          <cell r="G297">
            <v>491111.42</v>
          </cell>
          <cell r="I297">
            <v>0</v>
          </cell>
          <cell r="K297">
            <v>491111.42</v>
          </cell>
        </row>
        <row r="298">
          <cell r="A298" t="str">
            <v>2500 1301190012</v>
          </cell>
          <cell r="C298">
            <v>2500</v>
          </cell>
          <cell r="D298">
            <v>1301190012</v>
          </cell>
          <cell r="E298" t="str">
            <v>FSCDReinClaimCeded</v>
          </cell>
          <cell r="G298">
            <v>266346.32</v>
          </cell>
          <cell r="I298">
            <v>0</v>
          </cell>
          <cell r="K298">
            <v>266346.32</v>
          </cell>
        </row>
        <row r="299">
          <cell r="A299" t="str">
            <v>2500 1301120001</v>
          </cell>
          <cell r="C299">
            <v>2500</v>
          </cell>
          <cell r="D299">
            <v>1301120001</v>
          </cell>
          <cell r="E299" t="str">
            <v>I/C Rec Ccorp</v>
          </cell>
          <cell r="G299">
            <v>3750</v>
          </cell>
          <cell r="I299">
            <v>0</v>
          </cell>
          <cell r="K299">
            <v>3750</v>
          </cell>
        </row>
        <row r="300">
          <cell r="A300" t="str">
            <v>2500 1301080003</v>
          </cell>
          <cell r="C300">
            <v>2500</v>
          </cell>
          <cell r="D300">
            <v>1301080003</v>
          </cell>
          <cell r="E300" t="str">
            <v>I/CAflacNY</v>
          </cell>
          <cell r="G300">
            <v>414221.26</v>
          </cell>
          <cell r="I300">
            <v>0</v>
          </cell>
          <cell r="K300">
            <v>414221.26</v>
          </cell>
        </row>
        <row r="301">
          <cell r="A301" t="str">
            <v>2500 1301080040</v>
          </cell>
          <cell r="C301">
            <v>2500</v>
          </cell>
          <cell r="D301">
            <v>1301080040</v>
          </cell>
          <cell r="E301" t="str">
            <v>I/CCAICPFML</v>
          </cell>
          <cell r="G301">
            <v>4744433.0199999996</v>
          </cell>
          <cell r="I301">
            <v>0</v>
          </cell>
          <cell r="K301">
            <v>4744433.0199999996</v>
          </cell>
        </row>
        <row r="302">
          <cell r="A302" t="str">
            <v>2500 1301120003</v>
          </cell>
          <cell r="C302">
            <v>2500</v>
          </cell>
          <cell r="D302">
            <v>1301120003</v>
          </cell>
          <cell r="E302" t="str">
            <v>I/CDuckGearOrders</v>
          </cell>
          <cell r="G302">
            <v>0</v>
          </cell>
          <cell r="I302">
            <v>0</v>
          </cell>
          <cell r="K302">
            <v>0</v>
          </cell>
        </row>
        <row r="303">
          <cell r="A303" t="str">
            <v>2500 1301110001</v>
          </cell>
          <cell r="C303">
            <v>2500</v>
          </cell>
          <cell r="D303">
            <v>1301110001</v>
          </cell>
          <cell r="E303" t="str">
            <v>I/CInc</v>
          </cell>
          <cell r="G303">
            <v>396974</v>
          </cell>
          <cell r="I303">
            <v>0</v>
          </cell>
          <cell r="K303">
            <v>396974</v>
          </cell>
        </row>
        <row r="304">
          <cell r="A304" t="str">
            <v>2500 1301110004</v>
          </cell>
          <cell r="C304">
            <v>2500</v>
          </cell>
          <cell r="D304">
            <v>1301110004</v>
          </cell>
          <cell r="E304" t="str">
            <v>I/CoRecABS</v>
          </cell>
          <cell r="G304">
            <v>0</v>
          </cell>
          <cell r="I304">
            <v>0</v>
          </cell>
          <cell r="K304">
            <v>0</v>
          </cell>
        </row>
        <row r="305">
          <cell r="A305" t="str">
            <v>2500 2905028016</v>
          </cell>
          <cell r="C305">
            <v>2500</v>
          </cell>
          <cell r="D305">
            <v>2905028016</v>
          </cell>
          <cell r="E305" t="str">
            <v>I/CPay-AAMLLC</v>
          </cell>
          <cell r="G305">
            <v>0</v>
          </cell>
          <cell r="I305">
            <v>0</v>
          </cell>
          <cell r="K305">
            <v>0</v>
          </cell>
        </row>
        <row r="306">
          <cell r="A306" t="str">
            <v>2500 2905028028</v>
          </cell>
          <cell r="C306">
            <v>2500</v>
          </cell>
          <cell r="D306">
            <v>2905028028</v>
          </cell>
          <cell r="E306" t="str">
            <v>I/CPay-ArgusDen&amp;Vis</v>
          </cell>
          <cell r="G306">
            <v>0</v>
          </cell>
          <cell r="I306">
            <v>892984.73</v>
          </cell>
          <cell r="K306">
            <v>-892984.73</v>
          </cell>
        </row>
        <row r="307">
          <cell r="A307" t="str">
            <v>2500 2905028015</v>
          </cell>
          <cell r="C307">
            <v>2500</v>
          </cell>
          <cell r="D307">
            <v>2905028015</v>
          </cell>
          <cell r="E307" t="str">
            <v>I/CPay-TOIC</v>
          </cell>
          <cell r="G307">
            <v>0</v>
          </cell>
          <cell r="I307">
            <v>2007436.55</v>
          </cell>
          <cell r="K307">
            <v>-2007436.55</v>
          </cell>
        </row>
        <row r="308">
          <cell r="A308" t="str">
            <v>2500 2905028011</v>
          </cell>
          <cell r="C308">
            <v>2500</v>
          </cell>
          <cell r="D308">
            <v>2905028011</v>
          </cell>
          <cell r="E308" t="str">
            <v>I/CPayEB(1510)</v>
          </cell>
          <cell r="G308">
            <v>0</v>
          </cell>
          <cell r="I308">
            <v>0</v>
          </cell>
          <cell r="K308">
            <v>0</v>
          </cell>
        </row>
        <row r="309">
          <cell r="A309" t="str">
            <v>2500 2905028014</v>
          </cell>
          <cell r="C309">
            <v>2500</v>
          </cell>
          <cell r="D309">
            <v>2905028014</v>
          </cell>
          <cell r="E309" t="str">
            <v>I/CPayNLAC/Aflac Col</v>
          </cell>
          <cell r="G309">
            <v>0</v>
          </cell>
          <cell r="I309">
            <v>4398703.84</v>
          </cell>
          <cell r="K309">
            <v>-4398703.84</v>
          </cell>
        </row>
        <row r="310">
          <cell r="A310" t="str">
            <v>2500 1301080022</v>
          </cell>
          <cell r="C310">
            <v>2500</v>
          </cell>
          <cell r="D310">
            <v>1301080022</v>
          </cell>
          <cell r="E310" t="str">
            <v>I/CRec-AAMLLC</v>
          </cell>
          <cell r="G310">
            <v>109685.88</v>
          </cell>
          <cell r="I310">
            <v>0</v>
          </cell>
          <cell r="K310">
            <v>109685.88</v>
          </cell>
        </row>
        <row r="311">
          <cell r="A311" t="str">
            <v>2500 1301080020</v>
          </cell>
          <cell r="C311">
            <v>2500</v>
          </cell>
          <cell r="D311">
            <v>1301080020</v>
          </cell>
          <cell r="E311" t="str">
            <v>I/CRec-AflacUS/Col</v>
          </cell>
          <cell r="G311">
            <v>2385885.65</v>
          </cell>
          <cell r="I311">
            <v>0</v>
          </cell>
          <cell r="K311">
            <v>2385885.65</v>
          </cell>
        </row>
        <row r="312">
          <cell r="A312" t="str">
            <v>2500 1301080033</v>
          </cell>
          <cell r="C312">
            <v>2500</v>
          </cell>
          <cell r="D312">
            <v>1301080033</v>
          </cell>
          <cell r="E312" t="str">
            <v>I/CRec-ArgusDen&amp;Vis</v>
          </cell>
          <cell r="G312">
            <v>978967.36</v>
          </cell>
          <cell r="I312">
            <v>0</v>
          </cell>
          <cell r="K312">
            <v>978967.36</v>
          </cell>
        </row>
        <row r="313">
          <cell r="A313" t="str">
            <v>2500 1301080029</v>
          </cell>
          <cell r="C313">
            <v>2500</v>
          </cell>
          <cell r="D313">
            <v>1301080029</v>
          </cell>
          <cell r="E313" t="str">
            <v>I/CRec-Empower.Insur</v>
          </cell>
          <cell r="G313">
            <v>2771</v>
          </cell>
          <cell r="I313">
            <v>0</v>
          </cell>
          <cell r="K313">
            <v>2771</v>
          </cell>
        </row>
        <row r="314">
          <cell r="A314" t="str">
            <v>2500 1301080021</v>
          </cell>
          <cell r="C314">
            <v>2500</v>
          </cell>
          <cell r="D314">
            <v>1301080021</v>
          </cell>
          <cell r="E314" t="str">
            <v>I/CRec-TOIC</v>
          </cell>
          <cell r="G314">
            <v>1780195.29</v>
          </cell>
          <cell r="I314">
            <v>0</v>
          </cell>
          <cell r="K314">
            <v>1780195.29</v>
          </cell>
        </row>
        <row r="315">
          <cell r="A315" t="str">
            <v>2500 1301080016</v>
          </cell>
          <cell r="C315">
            <v>2500</v>
          </cell>
          <cell r="D315">
            <v>1301080016</v>
          </cell>
          <cell r="E315" t="str">
            <v>I/CRecAGI(2550)</v>
          </cell>
          <cell r="G315">
            <v>1085754.5900000001</v>
          </cell>
          <cell r="I315">
            <v>0</v>
          </cell>
          <cell r="K315">
            <v>1085754.5900000001</v>
          </cell>
        </row>
        <row r="316">
          <cell r="A316" t="str">
            <v>2500 1301080017</v>
          </cell>
          <cell r="C316">
            <v>2500</v>
          </cell>
          <cell r="D316">
            <v>1301080017</v>
          </cell>
          <cell r="E316" t="str">
            <v>I/CRecEB(1510)</v>
          </cell>
          <cell r="G316">
            <v>0</v>
          </cell>
          <cell r="I316">
            <v>0</v>
          </cell>
          <cell r="K316">
            <v>0</v>
          </cell>
        </row>
        <row r="317">
          <cell r="A317" t="str">
            <v>2500 2905028008</v>
          </cell>
          <cell r="C317">
            <v>2500</v>
          </cell>
          <cell r="D317">
            <v>2905028008</v>
          </cell>
          <cell r="E317" t="str">
            <v>ICPayCcorpOrders</v>
          </cell>
          <cell r="G317">
            <v>0</v>
          </cell>
          <cell r="I317">
            <v>40920.85</v>
          </cell>
          <cell r="K317">
            <v>-40920.85</v>
          </cell>
        </row>
        <row r="318">
          <cell r="A318" t="str">
            <v>2500 2905021008</v>
          </cell>
          <cell r="C318">
            <v>2500</v>
          </cell>
          <cell r="D318">
            <v>2905021008</v>
          </cell>
          <cell r="E318" t="str">
            <v>ICPayToAflacCol</v>
          </cell>
          <cell r="G318">
            <v>0</v>
          </cell>
          <cell r="I318">
            <v>0</v>
          </cell>
          <cell r="K318">
            <v>0</v>
          </cell>
        </row>
        <row r="319">
          <cell r="A319" t="str">
            <v>2500 2905010001</v>
          </cell>
          <cell r="C319">
            <v>2500</v>
          </cell>
          <cell r="D319">
            <v>2905010001</v>
          </cell>
          <cell r="E319" t="str">
            <v>ICPayToAflInc</v>
          </cell>
          <cell r="G319">
            <v>0</v>
          </cell>
          <cell r="I319">
            <v>6564326</v>
          </cell>
          <cell r="K319">
            <v>-6564326</v>
          </cell>
        </row>
        <row r="320">
          <cell r="A320" t="str">
            <v>2500 2905022005</v>
          </cell>
          <cell r="C320">
            <v>2500</v>
          </cell>
          <cell r="D320">
            <v>2905022005</v>
          </cell>
          <cell r="E320" t="str">
            <v>ICPayToAflNY</v>
          </cell>
          <cell r="G320">
            <v>0</v>
          </cell>
          <cell r="I320">
            <v>599195.34</v>
          </cell>
          <cell r="K320">
            <v>-599195.34</v>
          </cell>
        </row>
        <row r="321">
          <cell r="A321" t="str">
            <v>2500 2905028010</v>
          </cell>
          <cell r="C321">
            <v>2500</v>
          </cell>
          <cell r="D321">
            <v>2905028010</v>
          </cell>
          <cell r="E321" t="str">
            <v>ICPayToAGI(2550)</v>
          </cell>
          <cell r="G321">
            <v>0</v>
          </cell>
          <cell r="I321">
            <v>21704819.5</v>
          </cell>
          <cell r="K321">
            <v>-21704819.5</v>
          </cell>
        </row>
        <row r="322">
          <cell r="A322" t="str">
            <v>2500 2905028035</v>
          </cell>
          <cell r="C322">
            <v>2500</v>
          </cell>
          <cell r="D322">
            <v>2905028035</v>
          </cell>
          <cell r="E322" t="str">
            <v>ICPayToCAICPFML</v>
          </cell>
          <cell r="G322">
            <v>0</v>
          </cell>
          <cell r="I322">
            <v>635179.81999999995</v>
          </cell>
          <cell r="K322">
            <v>-635179.81999999995</v>
          </cell>
        </row>
        <row r="323">
          <cell r="A323" t="str">
            <v>2500 2905036005</v>
          </cell>
          <cell r="C323">
            <v>2500</v>
          </cell>
          <cell r="D323">
            <v>2905036005</v>
          </cell>
          <cell r="E323" t="str">
            <v>IntercoPay ZALICO</v>
          </cell>
          <cell r="G323">
            <v>0</v>
          </cell>
          <cell r="I323">
            <v>202921.43</v>
          </cell>
          <cell r="K323">
            <v>-202921.43</v>
          </cell>
        </row>
        <row r="324">
          <cell r="A324" t="str">
            <v>2500 2905036004</v>
          </cell>
          <cell r="C324">
            <v>2500</v>
          </cell>
          <cell r="D324">
            <v>2905036004</v>
          </cell>
          <cell r="E324" t="str">
            <v>IntercoPay ZALICONY</v>
          </cell>
          <cell r="G324">
            <v>0</v>
          </cell>
          <cell r="I324">
            <v>52715.23</v>
          </cell>
          <cell r="K324">
            <v>-52715.23</v>
          </cell>
        </row>
        <row r="325">
          <cell r="A325" t="str">
            <v>2500 1301110009</v>
          </cell>
          <cell r="C325">
            <v>2500</v>
          </cell>
          <cell r="D325">
            <v>1301110009</v>
          </cell>
          <cell r="E325" t="str">
            <v>IntercoRec ABA TMK</v>
          </cell>
          <cell r="G325">
            <v>0</v>
          </cell>
          <cell r="I325">
            <v>0</v>
          </cell>
          <cell r="K325">
            <v>0</v>
          </cell>
        </row>
        <row r="326">
          <cell r="A326" t="str">
            <v>2500 1301180005</v>
          </cell>
          <cell r="C326">
            <v>2500</v>
          </cell>
          <cell r="D326">
            <v>1301180005</v>
          </cell>
          <cell r="E326" t="str">
            <v>IntercoRec ZALICO</v>
          </cell>
          <cell r="G326">
            <v>22359.41</v>
          </cell>
          <cell r="I326">
            <v>0</v>
          </cell>
          <cell r="K326">
            <v>22359.41</v>
          </cell>
        </row>
        <row r="327">
          <cell r="A327" t="str">
            <v>2500 1301180004</v>
          </cell>
          <cell r="C327">
            <v>2500</v>
          </cell>
          <cell r="D327">
            <v>1301180004</v>
          </cell>
          <cell r="E327" t="str">
            <v>IntercoRec ZALICONY</v>
          </cell>
          <cell r="G327">
            <v>0</v>
          </cell>
          <cell r="I327">
            <v>0</v>
          </cell>
          <cell r="K327">
            <v>0</v>
          </cell>
        </row>
        <row r="328">
          <cell r="A328" t="str">
            <v>2500 1301190006</v>
          </cell>
          <cell r="C328">
            <v>2500</v>
          </cell>
          <cell r="D328">
            <v>1301190006</v>
          </cell>
          <cell r="E328" t="str">
            <v>RecReinsAmtsRecov</v>
          </cell>
          <cell r="G328">
            <v>0</v>
          </cell>
          <cell r="I328">
            <v>40511084.579999998</v>
          </cell>
          <cell r="K328">
            <v>-40511084.579999998</v>
          </cell>
        </row>
        <row r="329">
          <cell r="A329" t="str">
            <v>2500 1301190011</v>
          </cell>
          <cell r="C329">
            <v>2500</v>
          </cell>
          <cell r="D329">
            <v>1301190011</v>
          </cell>
          <cell r="E329" t="str">
            <v>RecReinsAR-PLADS</v>
          </cell>
          <cell r="G329">
            <v>3389814.71</v>
          </cell>
          <cell r="I329">
            <v>0</v>
          </cell>
          <cell r="K329">
            <v>3389814.71</v>
          </cell>
        </row>
        <row r="330">
          <cell r="A330" t="str">
            <v>2550 1301080004</v>
          </cell>
          <cell r="C330">
            <v>2550</v>
          </cell>
          <cell r="D330">
            <v>1301080004</v>
          </cell>
          <cell r="E330" t="str">
            <v>I/CAflacGroup</v>
          </cell>
          <cell r="G330">
            <v>0</v>
          </cell>
          <cell r="I330">
            <v>36071137.009999998</v>
          </cell>
          <cell r="K330">
            <v>-36071137.009999998</v>
          </cell>
        </row>
        <row r="331">
          <cell r="A331" t="str">
            <v>2550 1301110001</v>
          </cell>
          <cell r="C331">
            <v>2550</v>
          </cell>
          <cell r="D331">
            <v>1301110001</v>
          </cell>
          <cell r="E331" t="str">
            <v>I/CInc</v>
          </cell>
          <cell r="G331">
            <v>0</v>
          </cell>
          <cell r="I331">
            <v>54213.8</v>
          </cell>
          <cell r="K331">
            <v>-54213.8</v>
          </cell>
        </row>
        <row r="332">
          <cell r="A332" t="str">
            <v>2550 2905028001</v>
          </cell>
          <cell r="C332">
            <v>2550</v>
          </cell>
          <cell r="D332">
            <v>2905028001</v>
          </cell>
          <cell r="E332" t="str">
            <v>ICToAflGroup</v>
          </cell>
          <cell r="G332">
            <v>27814951.760000002</v>
          </cell>
          <cell r="I332">
            <v>0</v>
          </cell>
          <cell r="K332">
            <v>27814951.760000002</v>
          </cell>
        </row>
        <row r="333">
          <cell r="A333" t="str">
            <v>2550 1301190201</v>
          </cell>
          <cell r="C333">
            <v>2550</v>
          </cell>
          <cell r="D333">
            <v>1301190201</v>
          </cell>
          <cell r="E333" t="str">
            <v>RecReinRenAssumedTR2</v>
          </cell>
          <cell r="G333">
            <v>0</v>
          </cell>
          <cell r="I333">
            <v>69148955.920000002</v>
          </cell>
          <cell r="K333">
            <v>-69148955.920000002</v>
          </cell>
        </row>
        <row r="334">
          <cell r="A334" t="str">
            <v>2550 1301190202</v>
          </cell>
          <cell r="C334">
            <v>2550</v>
          </cell>
          <cell r="D334">
            <v>1301190202</v>
          </cell>
          <cell r="E334" t="str">
            <v>RecReinRenAssumedTR3</v>
          </cell>
          <cell r="G334">
            <v>0</v>
          </cell>
          <cell r="I334">
            <v>170838187.66</v>
          </cell>
          <cell r="K334">
            <v>-170838187.66</v>
          </cell>
        </row>
        <row r="335">
          <cell r="A335" t="str">
            <v>2560 1301080004</v>
          </cell>
          <cell r="C335">
            <v>2560</v>
          </cell>
          <cell r="D335">
            <v>1301080004</v>
          </cell>
          <cell r="E335" t="str">
            <v>I/CAflacGroup</v>
          </cell>
          <cell r="G335">
            <v>635179.81999999995</v>
          </cell>
          <cell r="I335">
            <v>0</v>
          </cell>
          <cell r="K335">
            <v>635179.81999999995</v>
          </cell>
        </row>
        <row r="336">
          <cell r="A336" t="str">
            <v>2560 1301080003</v>
          </cell>
          <cell r="C336">
            <v>2560</v>
          </cell>
          <cell r="D336">
            <v>1301080003</v>
          </cell>
          <cell r="E336" t="str">
            <v>I/CAflacNY</v>
          </cell>
          <cell r="G336">
            <v>15.28</v>
          </cell>
          <cell r="I336">
            <v>0</v>
          </cell>
          <cell r="K336">
            <v>15.28</v>
          </cell>
        </row>
        <row r="337">
          <cell r="A337" t="str">
            <v>2560 1301110001</v>
          </cell>
          <cell r="C337">
            <v>2560</v>
          </cell>
          <cell r="D337">
            <v>1301110001</v>
          </cell>
          <cell r="E337" t="str">
            <v>I/CInc</v>
          </cell>
          <cell r="G337">
            <v>0</v>
          </cell>
          <cell r="I337">
            <v>0</v>
          </cell>
          <cell r="K337">
            <v>0</v>
          </cell>
        </row>
        <row r="338">
          <cell r="A338" t="str">
            <v>2560 2905028014</v>
          </cell>
          <cell r="C338">
            <v>2560</v>
          </cell>
          <cell r="D338">
            <v>2905028014</v>
          </cell>
          <cell r="E338" t="str">
            <v>I/CPayNLAC/Aflac Col</v>
          </cell>
          <cell r="G338">
            <v>0</v>
          </cell>
          <cell r="I338">
            <v>676782.11</v>
          </cell>
          <cell r="K338">
            <v>-676782.11</v>
          </cell>
        </row>
        <row r="339">
          <cell r="A339" t="str">
            <v>2560 1301080020</v>
          </cell>
          <cell r="C339">
            <v>2560</v>
          </cell>
          <cell r="D339">
            <v>1301080020</v>
          </cell>
          <cell r="E339" t="str">
            <v>I/CRec-AflacUS/Col</v>
          </cell>
          <cell r="G339">
            <v>1169351.56</v>
          </cell>
          <cell r="I339">
            <v>0</v>
          </cell>
          <cell r="K339">
            <v>1169351.56</v>
          </cell>
        </row>
        <row r="340">
          <cell r="A340" t="str">
            <v>2560 2905010001</v>
          </cell>
          <cell r="C340">
            <v>2560</v>
          </cell>
          <cell r="D340">
            <v>2905010001</v>
          </cell>
          <cell r="E340" t="str">
            <v>ICPayToAflInc</v>
          </cell>
          <cell r="G340">
            <v>0</v>
          </cell>
          <cell r="I340">
            <v>887102</v>
          </cell>
          <cell r="K340">
            <v>-887102</v>
          </cell>
        </row>
        <row r="341">
          <cell r="A341" t="str">
            <v>2560 2905028001</v>
          </cell>
          <cell r="C341">
            <v>2560</v>
          </cell>
          <cell r="D341">
            <v>2905028001</v>
          </cell>
          <cell r="E341" t="str">
            <v>ICToAflGroup</v>
          </cell>
          <cell r="G341">
            <v>0</v>
          </cell>
          <cell r="I341">
            <v>4744433.0199999996</v>
          </cell>
          <cell r="K341">
            <v>-4744433.0199999996</v>
          </cell>
        </row>
        <row r="342">
          <cell r="A342" t="str">
            <v>2560 2905036005</v>
          </cell>
          <cell r="C342">
            <v>2560</v>
          </cell>
          <cell r="D342">
            <v>2905036005</v>
          </cell>
          <cell r="E342" t="str">
            <v>IntercoPay ZALICO</v>
          </cell>
          <cell r="G342">
            <v>0</v>
          </cell>
          <cell r="I342">
            <v>0</v>
          </cell>
          <cell r="K342">
            <v>0</v>
          </cell>
        </row>
        <row r="343">
          <cell r="A343" t="str">
            <v>2560 1301180005</v>
          </cell>
          <cell r="C343">
            <v>2560</v>
          </cell>
          <cell r="D343">
            <v>1301180005</v>
          </cell>
          <cell r="E343" t="str">
            <v>IntercoRec ZALICO</v>
          </cell>
          <cell r="G343">
            <v>0</v>
          </cell>
          <cell r="I343">
            <v>0</v>
          </cell>
          <cell r="K343">
            <v>0</v>
          </cell>
        </row>
        <row r="344">
          <cell r="A344" t="str">
            <v>2600 1301190012</v>
          </cell>
          <cell r="C344">
            <v>2600</v>
          </cell>
          <cell r="D344">
            <v>1301190012</v>
          </cell>
          <cell r="E344" t="str">
            <v>FSCDReinClaimCeded</v>
          </cell>
          <cell r="G344">
            <v>0</v>
          </cell>
          <cell r="I344">
            <v>0</v>
          </cell>
          <cell r="K344">
            <v>0</v>
          </cell>
        </row>
        <row r="345">
          <cell r="A345" t="str">
            <v>2600 1301120001</v>
          </cell>
          <cell r="C345">
            <v>2600</v>
          </cell>
          <cell r="D345">
            <v>1301120001</v>
          </cell>
          <cell r="E345" t="str">
            <v>I/C Rec Ccorp</v>
          </cell>
          <cell r="G345">
            <v>0</v>
          </cell>
          <cell r="I345">
            <v>0</v>
          </cell>
          <cell r="K345">
            <v>0</v>
          </cell>
        </row>
        <row r="346">
          <cell r="A346" t="str">
            <v>2600 1301080004</v>
          </cell>
          <cell r="C346">
            <v>2600</v>
          </cell>
          <cell r="D346">
            <v>1301080004</v>
          </cell>
          <cell r="E346" t="str">
            <v>I/CAflacGroup</v>
          </cell>
          <cell r="G346">
            <v>2007436.55</v>
          </cell>
          <cell r="I346">
            <v>0</v>
          </cell>
          <cell r="K346">
            <v>2007436.55</v>
          </cell>
        </row>
        <row r="347">
          <cell r="A347" t="str">
            <v>2600 1301080003</v>
          </cell>
          <cell r="C347">
            <v>2600</v>
          </cell>
          <cell r="D347">
            <v>1301080003</v>
          </cell>
          <cell r="E347" t="str">
            <v>I/CAflacNY</v>
          </cell>
          <cell r="G347">
            <v>0</v>
          </cell>
          <cell r="I347">
            <v>0</v>
          </cell>
          <cell r="K347">
            <v>0</v>
          </cell>
        </row>
        <row r="348">
          <cell r="A348" t="str">
            <v>2600 1301120003</v>
          </cell>
          <cell r="C348">
            <v>2600</v>
          </cell>
          <cell r="D348">
            <v>1301120003</v>
          </cell>
          <cell r="E348" t="str">
            <v>I/CDuckGearOrders</v>
          </cell>
          <cell r="G348">
            <v>137.34</v>
          </cell>
          <cell r="I348">
            <v>0</v>
          </cell>
          <cell r="K348">
            <v>137.34</v>
          </cell>
        </row>
        <row r="349">
          <cell r="A349" t="str">
            <v>2600 1301110001</v>
          </cell>
          <cell r="C349">
            <v>2600</v>
          </cell>
          <cell r="D349">
            <v>1301110001</v>
          </cell>
          <cell r="E349" t="str">
            <v>I/CInc</v>
          </cell>
          <cell r="G349">
            <v>445405</v>
          </cell>
          <cell r="I349">
            <v>0</v>
          </cell>
          <cell r="K349">
            <v>445405</v>
          </cell>
        </row>
        <row r="350">
          <cell r="A350" t="str">
            <v>2600 2905028016</v>
          </cell>
          <cell r="C350">
            <v>2600</v>
          </cell>
          <cell r="D350">
            <v>2905028016</v>
          </cell>
          <cell r="E350" t="str">
            <v>I/CPay-AAMLLC</v>
          </cell>
          <cell r="G350">
            <v>0</v>
          </cell>
          <cell r="I350">
            <v>0</v>
          </cell>
          <cell r="K350">
            <v>0</v>
          </cell>
        </row>
        <row r="351">
          <cell r="A351" t="str">
            <v>2600 2905028028</v>
          </cell>
          <cell r="C351">
            <v>2600</v>
          </cell>
          <cell r="D351">
            <v>2905028028</v>
          </cell>
          <cell r="E351" t="str">
            <v>I/CPay-ArgusDen&amp;Vis</v>
          </cell>
          <cell r="G351">
            <v>801.4</v>
          </cell>
          <cell r="I351">
            <v>0</v>
          </cell>
          <cell r="K351">
            <v>801.4</v>
          </cell>
        </row>
        <row r="352">
          <cell r="A352" t="str">
            <v>2600 2905028024</v>
          </cell>
          <cell r="C352">
            <v>2600</v>
          </cell>
          <cell r="D352">
            <v>2905028024</v>
          </cell>
          <cell r="E352" t="str">
            <v>I/Cpay-Empower.Insur</v>
          </cell>
          <cell r="G352">
            <v>0</v>
          </cell>
          <cell r="I352">
            <v>1989.35</v>
          </cell>
          <cell r="K352">
            <v>-1989.35</v>
          </cell>
        </row>
        <row r="353">
          <cell r="A353" t="str">
            <v>2600 2905028014</v>
          </cell>
          <cell r="C353">
            <v>2600</v>
          </cell>
          <cell r="D353">
            <v>2905028014</v>
          </cell>
          <cell r="E353" t="str">
            <v>I/CPayNLAC/Aflac Col</v>
          </cell>
          <cell r="G353">
            <v>0</v>
          </cell>
          <cell r="I353">
            <v>3464104.79</v>
          </cell>
          <cell r="K353">
            <v>-3464104.79</v>
          </cell>
        </row>
        <row r="354">
          <cell r="A354" t="str">
            <v>2600 1301080020</v>
          </cell>
          <cell r="C354">
            <v>2600</v>
          </cell>
          <cell r="D354">
            <v>1301080020</v>
          </cell>
          <cell r="E354" t="str">
            <v>I/CRec-AflacUS/Col</v>
          </cell>
          <cell r="G354">
            <v>2095841.62</v>
          </cell>
          <cell r="I354">
            <v>0</v>
          </cell>
          <cell r="K354">
            <v>2095841.62</v>
          </cell>
        </row>
        <row r="355">
          <cell r="A355" t="str">
            <v>2600 1301080029</v>
          </cell>
          <cell r="C355">
            <v>2600</v>
          </cell>
          <cell r="D355">
            <v>1301080029</v>
          </cell>
          <cell r="E355" t="str">
            <v>I/CRec-Empower.Insur</v>
          </cell>
          <cell r="G355">
            <v>80249.42</v>
          </cell>
          <cell r="I355">
            <v>0</v>
          </cell>
          <cell r="K355">
            <v>80249.42</v>
          </cell>
        </row>
        <row r="356">
          <cell r="A356" t="str">
            <v>2600 2905028008</v>
          </cell>
          <cell r="C356">
            <v>2600</v>
          </cell>
          <cell r="D356">
            <v>2905028008</v>
          </cell>
          <cell r="E356" t="str">
            <v>ICPayCcorpOrders</v>
          </cell>
          <cell r="G356">
            <v>0</v>
          </cell>
          <cell r="I356">
            <v>9186.73</v>
          </cell>
          <cell r="K356">
            <v>-9186.73</v>
          </cell>
        </row>
        <row r="357">
          <cell r="A357" t="str">
            <v>2600 2905010001</v>
          </cell>
          <cell r="C357">
            <v>2600</v>
          </cell>
          <cell r="D357">
            <v>2905010001</v>
          </cell>
          <cell r="E357" t="str">
            <v>ICPayToAflInc</v>
          </cell>
          <cell r="G357">
            <v>0</v>
          </cell>
          <cell r="I357">
            <v>525253</v>
          </cell>
          <cell r="K357">
            <v>-525253</v>
          </cell>
        </row>
        <row r="358">
          <cell r="A358" t="str">
            <v>2600 2905022005</v>
          </cell>
          <cell r="C358">
            <v>2600</v>
          </cell>
          <cell r="D358">
            <v>2905022005</v>
          </cell>
          <cell r="E358" t="str">
            <v>ICPayToAflNY</v>
          </cell>
          <cell r="G358">
            <v>0</v>
          </cell>
          <cell r="I358">
            <v>104603</v>
          </cell>
          <cell r="K358">
            <v>-104603</v>
          </cell>
        </row>
        <row r="359">
          <cell r="A359" t="str">
            <v>2600 2905028001</v>
          </cell>
          <cell r="C359">
            <v>2600</v>
          </cell>
          <cell r="D359">
            <v>2905028001</v>
          </cell>
          <cell r="E359" t="str">
            <v>ICToAflGroup</v>
          </cell>
          <cell r="G359">
            <v>0</v>
          </cell>
          <cell r="I359">
            <v>1780195.29</v>
          </cell>
          <cell r="K359">
            <v>-1780195.29</v>
          </cell>
        </row>
        <row r="360">
          <cell r="A360" t="str">
            <v>2600 1301190006</v>
          </cell>
          <cell r="C360">
            <v>2600</v>
          </cell>
          <cell r="D360">
            <v>1301190006</v>
          </cell>
          <cell r="E360" t="str">
            <v>RecReinsAmtsRecov</v>
          </cell>
          <cell r="G360">
            <v>0</v>
          </cell>
          <cell r="I360">
            <v>3638251.18</v>
          </cell>
          <cell r="K360">
            <v>-3638251.18</v>
          </cell>
        </row>
        <row r="361">
          <cell r="A361" t="str">
            <v>2810 1301080004</v>
          </cell>
          <cell r="C361">
            <v>2810</v>
          </cell>
          <cell r="D361">
            <v>1301080004</v>
          </cell>
          <cell r="E361" t="str">
            <v>I/CAflacGroup</v>
          </cell>
          <cell r="G361">
            <v>892984.73</v>
          </cell>
          <cell r="I361">
            <v>0</v>
          </cell>
          <cell r="K361">
            <v>892984.73</v>
          </cell>
        </row>
        <row r="362">
          <cell r="A362" t="str">
            <v>2810 1301080003</v>
          </cell>
          <cell r="C362">
            <v>2810</v>
          </cell>
          <cell r="D362">
            <v>1301080003</v>
          </cell>
          <cell r="E362" t="str">
            <v>I/CAflacNY</v>
          </cell>
          <cell r="G362">
            <v>0</v>
          </cell>
          <cell r="I362">
            <v>0</v>
          </cell>
          <cell r="K362">
            <v>0</v>
          </cell>
        </row>
        <row r="363">
          <cell r="A363" t="str">
            <v>2810 1301110001</v>
          </cell>
          <cell r="C363">
            <v>2810</v>
          </cell>
          <cell r="D363">
            <v>1301110001</v>
          </cell>
          <cell r="E363" t="str">
            <v>I/CInc</v>
          </cell>
          <cell r="G363">
            <v>158916</v>
          </cell>
          <cell r="I363">
            <v>0</v>
          </cell>
          <cell r="K363">
            <v>158916</v>
          </cell>
        </row>
        <row r="364">
          <cell r="A364" t="str">
            <v>2810 2905028014</v>
          </cell>
          <cell r="C364">
            <v>2810</v>
          </cell>
          <cell r="D364">
            <v>2905028014</v>
          </cell>
          <cell r="E364" t="str">
            <v>I/CPayNLAC/Aflac Col</v>
          </cell>
          <cell r="G364">
            <v>0</v>
          </cell>
          <cell r="I364">
            <v>721260.75</v>
          </cell>
          <cell r="K364">
            <v>-721260.75</v>
          </cell>
        </row>
        <row r="365">
          <cell r="A365" t="str">
            <v>2810 1301080020</v>
          </cell>
          <cell r="C365">
            <v>2810</v>
          </cell>
          <cell r="D365">
            <v>1301080020</v>
          </cell>
          <cell r="E365" t="str">
            <v>I/CRec-AflacUS/Col</v>
          </cell>
          <cell r="G365">
            <v>1337785.55</v>
          </cell>
          <cell r="I365">
            <v>0</v>
          </cell>
          <cell r="K365">
            <v>1337785.55</v>
          </cell>
        </row>
        <row r="366">
          <cell r="A366" t="str">
            <v>2810 1301080021</v>
          </cell>
          <cell r="C366">
            <v>2810</v>
          </cell>
          <cell r="D366">
            <v>1301080021</v>
          </cell>
          <cell r="E366" t="str">
            <v>I/CRec-TOIC</v>
          </cell>
          <cell r="G366">
            <v>0</v>
          </cell>
          <cell r="I366">
            <v>801.4</v>
          </cell>
          <cell r="K366">
            <v>-801.4</v>
          </cell>
        </row>
        <row r="367">
          <cell r="A367" t="str">
            <v>2810 2905010001</v>
          </cell>
          <cell r="C367">
            <v>2810</v>
          </cell>
          <cell r="D367">
            <v>2905010001</v>
          </cell>
          <cell r="E367" t="str">
            <v>ICPayToAflInc</v>
          </cell>
          <cell r="G367">
            <v>0</v>
          </cell>
          <cell r="I367">
            <v>26537</v>
          </cell>
          <cell r="K367">
            <v>-26537</v>
          </cell>
        </row>
        <row r="368">
          <cell r="A368" t="str">
            <v>2810 2905022005</v>
          </cell>
          <cell r="C368">
            <v>2810</v>
          </cell>
          <cell r="D368">
            <v>2905022005</v>
          </cell>
          <cell r="E368" t="str">
            <v>ICPayToAflNY</v>
          </cell>
          <cell r="G368">
            <v>0</v>
          </cell>
          <cell r="I368">
            <v>0</v>
          </cell>
          <cell r="K368">
            <v>0</v>
          </cell>
        </row>
        <row r="369">
          <cell r="A369" t="str">
            <v>2810 2905028001</v>
          </cell>
          <cell r="C369">
            <v>2810</v>
          </cell>
          <cell r="D369">
            <v>2905028001</v>
          </cell>
          <cell r="E369" t="str">
            <v>ICToAflGroup</v>
          </cell>
          <cell r="G369">
            <v>0</v>
          </cell>
          <cell r="I369">
            <v>978967.36</v>
          </cell>
          <cell r="K369">
            <v>-978967.36</v>
          </cell>
        </row>
        <row r="370">
          <cell r="A370" t="str">
            <v>2900 1301190206</v>
          </cell>
          <cell r="C370">
            <v>2900</v>
          </cell>
          <cell r="D370">
            <v>1301190206</v>
          </cell>
          <cell r="E370" t="str">
            <v>FSCDRecRNASMD</v>
          </cell>
          <cell r="G370">
            <v>0</v>
          </cell>
          <cell r="I370">
            <v>20615331.530000001</v>
          </cell>
          <cell r="K370">
            <v>-20615331.530000001</v>
          </cell>
        </row>
        <row r="371">
          <cell r="A371" t="str">
            <v>2900 1301190208</v>
          </cell>
          <cell r="C371">
            <v>2900</v>
          </cell>
          <cell r="D371">
            <v>1301190208</v>
          </cell>
          <cell r="E371" t="str">
            <v>FSCDSettleDiffAff</v>
          </cell>
          <cell r="G371">
            <v>710810.79</v>
          </cell>
          <cell r="I371">
            <v>0</v>
          </cell>
          <cell r="K371">
            <v>710810.79</v>
          </cell>
        </row>
        <row r="372">
          <cell r="A372" t="str">
            <v>2900 1301110001</v>
          </cell>
          <cell r="C372">
            <v>2900</v>
          </cell>
          <cell r="D372">
            <v>1301110001</v>
          </cell>
          <cell r="E372" t="str">
            <v>I/CInc</v>
          </cell>
          <cell r="G372">
            <v>0</v>
          </cell>
          <cell r="I372">
            <v>0</v>
          </cell>
          <cell r="K372">
            <v>0</v>
          </cell>
        </row>
        <row r="373">
          <cell r="A373" t="str">
            <v>2900 2905028016</v>
          </cell>
          <cell r="C373">
            <v>2900</v>
          </cell>
          <cell r="D373">
            <v>2905028016</v>
          </cell>
          <cell r="E373" t="str">
            <v>I/CPay-AAMLLC</v>
          </cell>
          <cell r="G373">
            <v>0</v>
          </cell>
          <cell r="I373">
            <v>614.09</v>
          </cell>
          <cell r="K373">
            <v>-614.09</v>
          </cell>
        </row>
        <row r="374">
          <cell r="A374" t="str">
            <v>2900 2905028014</v>
          </cell>
          <cell r="C374">
            <v>2900</v>
          </cell>
          <cell r="D374">
            <v>2905028014</v>
          </cell>
          <cell r="E374" t="str">
            <v>I/CPayNLAC/Aflac Col</v>
          </cell>
          <cell r="G374">
            <v>0</v>
          </cell>
          <cell r="I374">
            <v>2502385.17</v>
          </cell>
          <cell r="K374">
            <v>-2502385.17</v>
          </cell>
        </row>
        <row r="375">
          <cell r="A375" t="str">
            <v>2900 1301080020</v>
          </cell>
          <cell r="C375">
            <v>2900</v>
          </cell>
          <cell r="D375">
            <v>1301080020</v>
          </cell>
          <cell r="E375" t="str">
            <v>I/CRec-AflacUS/Col</v>
          </cell>
          <cell r="G375">
            <v>27417.67</v>
          </cell>
          <cell r="I375">
            <v>0</v>
          </cell>
          <cell r="K375">
            <v>27417.67</v>
          </cell>
        </row>
        <row r="376">
          <cell r="A376" t="str">
            <v>2900 2905028008</v>
          </cell>
          <cell r="C376">
            <v>2900</v>
          </cell>
          <cell r="D376">
            <v>2905028008</v>
          </cell>
          <cell r="E376" t="str">
            <v>ICPayCcorpOrders</v>
          </cell>
          <cell r="G376">
            <v>0</v>
          </cell>
          <cell r="I376">
            <v>0</v>
          </cell>
          <cell r="K376">
            <v>0</v>
          </cell>
        </row>
        <row r="377">
          <cell r="A377" t="str">
            <v>2900 2905010001</v>
          </cell>
          <cell r="C377">
            <v>2900</v>
          </cell>
          <cell r="D377">
            <v>2905010001</v>
          </cell>
          <cell r="E377" t="str">
            <v>ICPayToAflInc</v>
          </cell>
          <cell r="G377">
            <v>0</v>
          </cell>
          <cell r="I377">
            <v>55602.47</v>
          </cell>
          <cell r="K377">
            <v>-55602.47</v>
          </cell>
        </row>
        <row r="378">
          <cell r="A378" t="str">
            <v>3000 1301113102</v>
          </cell>
          <cell r="C378">
            <v>3000</v>
          </cell>
          <cell r="D378">
            <v>1301113102</v>
          </cell>
          <cell r="E378" t="str">
            <v>I/C ALIJ (USD)3000ol</v>
          </cell>
          <cell r="G378">
            <v>92054</v>
          </cell>
          <cell r="I378">
            <v>0</v>
          </cell>
          <cell r="K378">
            <v>92054</v>
          </cell>
        </row>
        <row r="379">
          <cell r="A379" t="str">
            <v>3000 1301111100</v>
          </cell>
          <cell r="C379">
            <v>3000</v>
          </cell>
          <cell r="D379">
            <v>1301111100</v>
          </cell>
          <cell r="E379" t="str">
            <v>I/C INC (JPY)3000ol</v>
          </cell>
          <cell r="G379">
            <v>0</v>
          </cell>
          <cell r="I379">
            <v>559743</v>
          </cell>
          <cell r="K379">
            <v>-559743</v>
          </cell>
        </row>
        <row r="380">
          <cell r="A380" t="str">
            <v>3000 2905031201</v>
          </cell>
          <cell r="C380">
            <v>3000</v>
          </cell>
          <cell r="D380">
            <v>2905031201</v>
          </cell>
          <cell r="E380" t="str">
            <v>ICPayAINT (USD)3000</v>
          </cell>
          <cell r="G380">
            <v>0</v>
          </cell>
          <cell r="I380">
            <v>52200706</v>
          </cell>
          <cell r="K380">
            <v>-52200706</v>
          </cell>
        </row>
        <row r="381">
          <cell r="A381" t="str">
            <v>3000 2905031104</v>
          </cell>
          <cell r="C381">
            <v>3000</v>
          </cell>
          <cell r="D381">
            <v>2905031104</v>
          </cell>
          <cell r="E381" t="str">
            <v>ICPayALIJ (JPY)3000</v>
          </cell>
          <cell r="G381">
            <v>1468299</v>
          </cell>
          <cell r="I381">
            <v>0</v>
          </cell>
          <cell r="K381">
            <v>1468299</v>
          </cell>
        </row>
        <row r="382">
          <cell r="A382" t="str">
            <v>3100 1301111250</v>
          </cell>
          <cell r="C382">
            <v>3100</v>
          </cell>
          <cell r="D382">
            <v>1301111250</v>
          </cell>
          <cell r="E382" t="str">
            <v>I/C Rec AAMJLTD</v>
          </cell>
          <cell r="G382">
            <v>0</v>
          </cell>
          <cell r="I382">
            <v>42232130</v>
          </cell>
          <cell r="K382">
            <v>-42232130</v>
          </cell>
        </row>
        <row r="383">
          <cell r="A383" t="str">
            <v>3100 1301080028</v>
          </cell>
          <cell r="C383">
            <v>3100</v>
          </cell>
          <cell r="D383">
            <v>1301080028</v>
          </cell>
          <cell r="E383" t="str">
            <v>I/C Receivable AIP</v>
          </cell>
          <cell r="G383">
            <v>0</v>
          </cell>
          <cell r="I383">
            <v>0</v>
          </cell>
          <cell r="K383">
            <v>0</v>
          </cell>
        </row>
        <row r="384">
          <cell r="A384" t="str">
            <v>3100 1301080001</v>
          </cell>
          <cell r="C384">
            <v>3100</v>
          </cell>
          <cell r="D384">
            <v>1301080001</v>
          </cell>
          <cell r="E384" t="str">
            <v>I/CAFLACCol</v>
          </cell>
          <cell r="G384">
            <v>0</v>
          </cell>
          <cell r="I384">
            <v>0</v>
          </cell>
          <cell r="K384">
            <v>0</v>
          </cell>
        </row>
        <row r="385">
          <cell r="A385" t="str">
            <v>3100 1301150001</v>
          </cell>
          <cell r="C385">
            <v>3100</v>
          </cell>
          <cell r="D385">
            <v>1301150001</v>
          </cell>
          <cell r="E385" t="str">
            <v>I/CAflacInt'l</v>
          </cell>
          <cell r="G385">
            <v>4654</v>
          </cell>
          <cell r="I385">
            <v>0</v>
          </cell>
          <cell r="K385">
            <v>4654</v>
          </cell>
        </row>
        <row r="386">
          <cell r="A386" t="str">
            <v>3100 1301150002</v>
          </cell>
          <cell r="C386">
            <v>3100</v>
          </cell>
          <cell r="D386">
            <v>1301150002</v>
          </cell>
          <cell r="E386" t="str">
            <v>I/CAflacInt'lJapan</v>
          </cell>
          <cell r="G386">
            <v>1111286</v>
          </cell>
          <cell r="I386">
            <v>0</v>
          </cell>
          <cell r="K386">
            <v>1111286</v>
          </cell>
        </row>
        <row r="387">
          <cell r="A387" t="str">
            <v>3100 1301170001</v>
          </cell>
          <cell r="C387">
            <v>3100</v>
          </cell>
          <cell r="D387">
            <v>1301170001</v>
          </cell>
          <cell r="E387" t="str">
            <v>I/CAHS</v>
          </cell>
          <cell r="G387">
            <v>1982519</v>
          </cell>
          <cell r="I387">
            <v>0</v>
          </cell>
          <cell r="K387">
            <v>1982519</v>
          </cell>
        </row>
        <row r="388">
          <cell r="A388" t="str">
            <v>3100 1301130001</v>
          </cell>
          <cell r="C388">
            <v>3100</v>
          </cell>
          <cell r="D388">
            <v>1301130001</v>
          </cell>
          <cell r="E388" t="str">
            <v>I/CAIS</v>
          </cell>
          <cell r="G388">
            <v>43929307</v>
          </cell>
          <cell r="I388">
            <v>0</v>
          </cell>
          <cell r="K388">
            <v>43929307</v>
          </cell>
        </row>
        <row r="389">
          <cell r="A389" t="str">
            <v>3100 1301140001</v>
          </cell>
          <cell r="C389">
            <v>3100</v>
          </cell>
          <cell r="D389">
            <v>1301140001</v>
          </cell>
          <cell r="E389" t="str">
            <v>I/CAPS</v>
          </cell>
          <cell r="G389">
            <v>6620986</v>
          </cell>
          <cell r="I389">
            <v>0</v>
          </cell>
          <cell r="K389">
            <v>6620986</v>
          </cell>
        </row>
        <row r="390">
          <cell r="A390" t="str">
            <v>3100 1301110001</v>
          </cell>
          <cell r="C390">
            <v>3100</v>
          </cell>
          <cell r="D390">
            <v>1301110001</v>
          </cell>
          <cell r="E390" t="str">
            <v>I/CInc</v>
          </cell>
          <cell r="G390">
            <v>143055460</v>
          </cell>
          <cell r="I390">
            <v>0</v>
          </cell>
          <cell r="K390">
            <v>143055460</v>
          </cell>
        </row>
        <row r="391">
          <cell r="A391" t="str">
            <v>3100 2905028017</v>
          </cell>
          <cell r="C391">
            <v>3100</v>
          </cell>
          <cell r="D391">
            <v>2905028017</v>
          </cell>
          <cell r="E391" t="str">
            <v>I/CPay-AHLLC</v>
          </cell>
          <cell r="G391">
            <v>0</v>
          </cell>
          <cell r="I391">
            <v>1928245</v>
          </cell>
          <cell r="K391">
            <v>-1928245</v>
          </cell>
        </row>
        <row r="392">
          <cell r="A392" t="str">
            <v>3100 1301080035</v>
          </cell>
          <cell r="C392">
            <v>3100</v>
          </cell>
          <cell r="D392">
            <v>1301080035</v>
          </cell>
          <cell r="E392" t="str">
            <v>I/CRec AVJ</v>
          </cell>
          <cell r="G392">
            <v>1067335</v>
          </cell>
          <cell r="I392">
            <v>0</v>
          </cell>
          <cell r="K392">
            <v>1067335</v>
          </cell>
        </row>
        <row r="393">
          <cell r="A393" t="str">
            <v>3100 1301113160</v>
          </cell>
          <cell r="C393">
            <v>3100</v>
          </cell>
          <cell r="D393">
            <v>1301113160</v>
          </cell>
          <cell r="E393" t="str">
            <v>I/CRec Pet SSIJ</v>
          </cell>
          <cell r="G393">
            <v>0</v>
          </cell>
          <cell r="I393">
            <v>0</v>
          </cell>
          <cell r="K393">
            <v>0</v>
          </cell>
        </row>
        <row r="394">
          <cell r="A394" t="str">
            <v>3100 1301080022</v>
          </cell>
          <cell r="C394">
            <v>3100</v>
          </cell>
          <cell r="D394">
            <v>1301080022</v>
          </cell>
          <cell r="E394" t="str">
            <v>I/CRec-AAMLLC</v>
          </cell>
          <cell r="G394">
            <v>0</v>
          </cell>
          <cell r="I394">
            <v>0</v>
          </cell>
          <cell r="K394">
            <v>0</v>
          </cell>
        </row>
        <row r="395">
          <cell r="A395" t="str">
            <v>3100 1301080038</v>
          </cell>
          <cell r="C395">
            <v>3100</v>
          </cell>
          <cell r="D395">
            <v>1301080038</v>
          </cell>
          <cell r="E395" t="str">
            <v>I/CRecADS</v>
          </cell>
          <cell r="G395">
            <v>1200616</v>
          </cell>
          <cell r="I395">
            <v>0</v>
          </cell>
          <cell r="K395">
            <v>1200616</v>
          </cell>
        </row>
        <row r="396">
          <cell r="A396" t="str">
            <v>3100 1301080023</v>
          </cell>
          <cell r="C396">
            <v>3100</v>
          </cell>
          <cell r="D396">
            <v>1301080023</v>
          </cell>
          <cell r="E396" t="str">
            <v>I/CRecAHLLC</v>
          </cell>
          <cell r="G396">
            <v>10425574</v>
          </cell>
          <cell r="I396">
            <v>0</v>
          </cell>
          <cell r="K396">
            <v>10425574</v>
          </cell>
        </row>
        <row r="397">
          <cell r="A397" t="str">
            <v>3100 1301113140</v>
          </cell>
          <cell r="C397">
            <v>3100</v>
          </cell>
          <cell r="D397">
            <v>1301113140</v>
          </cell>
          <cell r="E397" t="str">
            <v>I/CRecASI</v>
          </cell>
          <cell r="G397">
            <v>1549964</v>
          </cell>
          <cell r="I397">
            <v>0</v>
          </cell>
          <cell r="K397">
            <v>1549964</v>
          </cell>
        </row>
        <row r="398">
          <cell r="A398" t="str">
            <v>3100 1301113141</v>
          </cell>
          <cell r="C398">
            <v>3100</v>
          </cell>
          <cell r="D398">
            <v>1301113141</v>
          </cell>
          <cell r="E398" t="str">
            <v>I/CRecASI(long term</v>
          </cell>
          <cell r="G398">
            <v>3495997</v>
          </cell>
          <cell r="I398">
            <v>0</v>
          </cell>
          <cell r="K398">
            <v>3495997</v>
          </cell>
        </row>
        <row r="399">
          <cell r="A399" t="str">
            <v>3100 1301113110</v>
          </cell>
          <cell r="C399">
            <v>3100</v>
          </cell>
          <cell r="D399">
            <v>1301113110</v>
          </cell>
          <cell r="E399" t="str">
            <v>I/CReceivable Tsusan</v>
          </cell>
          <cell r="G399">
            <v>1752802</v>
          </cell>
          <cell r="I399">
            <v>0</v>
          </cell>
          <cell r="K399">
            <v>1752802</v>
          </cell>
        </row>
        <row r="400">
          <cell r="A400" t="str">
            <v>3100 1301080036</v>
          </cell>
          <cell r="C400">
            <v>3100</v>
          </cell>
          <cell r="D400">
            <v>1301080036</v>
          </cell>
          <cell r="E400" t="str">
            <v>I/CRecHatchHealthcar</v>
          </cell>
          <cell r="G400">
            <v>1185962</v>
          </cell>
          <cell r="I400">
            <v>0</v>
          </cell>
          <cell r="K400">
            <v>1185962</v>
          </cell>
        </row>
        <row r="401">
          <cell r="A401" t="str">
            <v>3100 2905031250</v>
          </cell>
          <cell r="C401">
            <v>3100</v>
          </cell>
          <cell r="D401">
            <v>2905031250</v>
          </cell>
          <cell r="E401" t="str">
            <v>ICPayTo AAMJLTD</v>
          </cell>
          <cell r="G401">
            <v>0</v>
          </cell>
          <cell r="I401">
            <v>2920729530</v>
          </cell>
          <cell r="K401">
            <v>-2920729530</v>
          </cell>
        </row>
        <row r="402">
          <cell r="A402" t="str">
            <v>3100 2905021003</v>
          </cell>
          <cell r="C402">
            <v>3100</v>
          </cell>
          <cell r="D402">
            <v>2905021003</v>
          </cell>
          <cell r="E402" t="str">
            <v>ICPayToAflColAllcExp</v>
          </cell>
          <cell r="G402">
            <v>0</v>
          </cell>
          <cell r="I402">
            <v>0</v>
          </cell>
          <cell r="K402">
            <v>0</v>
          </cell>
        </row>
        <row r="403">
          <cell r="A403" t="str">
            <v>3100 2905021002</v>
          </cell>
          <cell r="C403">
            <v>3100</v>
          </cell>
          <cell r="D403">
            <v>2905021002</v>
          </cell>
          <cell r="E403" t="str">
            <v>ICPayToAflColST</v>
          </cell>
          <cell r="G403">
            <v>0</v>
          </cell>
          <cell r="I403">
            <v>0</v>
          </cell>
          <cell r="K403">
            <v>0</v>
          </cell>
        </row>
        <row r="404">
          <cell r="A404" t="str">
            <v>3100 2905021010</v>
          </cell>
          <cell r="C404">
            <v>3100</v>
          </cell>
          <cell r="D404">
            <v>2905021010</v>
          </cell>
          <cell r="E404" t="str">
            <v>ICPayToAflColST</v>
          </cell>
          <cell r="G404">
            <v>37878</v>
          </cell>
          <cell r="I404">
            <v>0</v>
          </cell>
          <cell r="K404">
            <v>37878</v>
          </cell>
        </row>
        <row r="405">
          <cell r="A405" t="str">
            <v>3100 2905010001</v>
          </cell>
          <cell r="C405">
            <v>3100</v>
          </cell>
          <cell r="D405">
            <v>2905010001</v>
          </cell>
          <cell r="E405" t="str">
            <v>ICPayToAflInc</v>
          </cell>
          <cell r="G405">
            <v>14192460139</v>
          </cell>
          <cell r="I405">
            <v>0</v>
          </cell>
          <cell r="K405">
            <v>14192460139</v>
          </cell>
        </row>
        <row r="406">
          <cell r="A406" t="str">
            <v>3100 2905024001</v>
          </cell>
          <cell r="C406">
            <v>3100</v>
          </cell>
          <cell r="D406">
            <v>2905024001</v>
          </cell>
          <cell r="E406" t="str">
            <v>ICPayToAflIntlUS</v>
          </cell>
          <cell r="G406">
            <v>0</v>
          </cell>
          <cell r="I406">
            <v>37669914</v>
          </cell>
          <cell r="K406">
            <v>-37669914</v>
          </cell>
        </row>
        <row r="407">
          <cell r="A407" t="str">
            <v>3100 2905036001</v>
          </cell>
          <cell r="C407">
            <v>3100</v>
          </cell>
          <cell r="D407">
            <v>2905036001</v>
          </cell>
          <cell r="E407" t="str">
            <v>ICPayToAHS</v>
          </cell>
          <cell r="G407">
            <v>0</v>
          </cell>
          <cell r="I407">
            <v>0</v>
          </cell>
          <cell r="K407">
            <v>0</v>
          </cell>
        </row>
        <row r="408">
          <cell r="A408" t="str">
            <v>3100 2905032001</v>
          </cell>
          <cell r="C408">
            <v>3100</v>
          </cell>
          <cell r="D408">
            <v>2905032001</v>
          </cell>
          <cell r="E408" t="str">
            <v>ICPayToAIS</v>
          </cell>
          <cell r="G408">
            <v>315775</v>
          </cell>
          <cell r="I408">
            <v>0</v>
          </cell>
          <cell r="K408">
            <v>315775</v>
          </cell>
        </row>
        <row r="409">
          <cell r="A409" t="str">
            <v>3110 1301113100</v>
          </cell>
          <cell r="C409">
            <v>3110</v>
          </cell>
          <cell r="D409">
            <v>1301113100</v>
          </cell>
          <cell r="E409" t="str">
            <v>I/C Aflac Japan</v>
          </cell>
          <cell r="G409">
            <v>0</v>
          </cell>
          <cell r="I409">
            <v>0</v>
          </cell>
          <cell r="K409">
            <v>0</v>
          </cell>
        </row>
        <row r="410">
          <cell r="A410" t="str">
            <v>3140 1301140001</v>
          </cell>
          <cell r="C410">
            <v>3140</v>
          </cell>
          <cell r="D410">
            <v>1301140001</v>
          </cell>
          <cell r="E410" t="str">
            <v>I/CAPS</v>
          </cell>
          <cell r="G410">
            <v>8287385</v>
          </cell>
          <cell r="I410">
            <v>0</v>
          </cell>
          <cell r="K410">
            <v>8287385</v>
          </cell>
        </row>
        <row r="411">
          <cell r="A411" t="str">
            <v>3140 2905033001</v>
          </cell>
          <cell r="C411">
            <v>3140</v>
          </cell>
          <cell r="D411">
            <v>2905033001</v>
          </cell>
          <cell r="E411" t="str">
            <v>ICPayToAPS</v>
          </cell>
          <cell r="G411">
            <v>0</v>
          </cell>
          <cell r="I411">
            <v>101634</v>
          </cell>
          <cell r="K411">
            <v>-101634</v>
          </cell>
        </row>
        <row r="413">
          <cell r="B413" t="str">
            <v>*</v>
          </cell>
          <cell r="G413">
            <v>370710.98</v>
          </cell>
          <cell r="I413">
            <v>602.33000000000004</v>
          </cell>
          <cell r="K413">
            <v>11336871265.190001</v>
          </cell>
        </row>
        <row r="414">
          <cell r="G414">
            <v>49025422.479999997</v>
          </cell>
          <cell r="I414">
            <v>28294181.27</v>
          </cell>
        </row>
        <row r="415">
          <cell r="G415">
            <v>14792587043</v>
          </cell>
          <cell r="I415">
            <v>13938278185</v>
          </cell>
        </row>
        <row r="416">
          <cell r="G416">
            <v>594888982.38</v>
          </cell>
          <cell r="I416">
            <v>1024821225.41</v>
          </cell>
        </row>
        <row r="418">
          <cell r="A418" t="str">
            <v>Production Client                                    G/L Account Balances                                    Time 08:47:30     Date  04/24/2026</v>
          </cell>
        </row>
        <row r="419">
          <cell r="A419" t="str">
            <v>Columbus, GA       Ledger Z4                                                                                 RFSUSA00/E15412   Page           2</v>
          </cell>
        </row>
        <row r="420">
          <cell r="A420" t="str">
            <v xml:space="preserve">                                                 Per month April 2026 across all company codes</v>
          </cell>
        </row>
        <row r="422">
          <cell r="C422" t="str">
            <v>CoCd</v>
          </cell>
          <cell r="D422" t="str">
            <v>Company Name</v>
          </cell>
          <cell r="F422" t="str">
            <v xml:space="preserve">      Debit Apr.</v>
          </cell>
          <cell r="H422" t="str">
            <v xml:space="preserve">     Credit Apr.</v>
          </cell>
          <cell r="J422" t="str">
            <v>Debit Jan. - Apr.</v>
          </cell>
          <cell r="K422" t="str">
            <v>Credit Jan. - Apr.</v>
          </cell>
        </row>
        <row r="424">
          <cell r="C424">
            <v>1000</v>
          </cell>
          <cell r="D424" t="str">
            <v>Aflac Incorporated</v>
          </cell>
          <cell r="F424">
            <v>146640190.47999999</v>
          </cell>
          <cell r="H424">
            <v>146473156.27000001</v>
          </cell>
          <cell r="J424">
            <v>261987196.22999999</v>
          </cell>
          <cell r="K424">
            <v>271505622.68000001</v>
          </cell>
        </row>
        <row r="425">
          <cell r="C425">
            <v>1012</v>
          </cell>
          <cell r="D425" t="str">
            <v>Aflac GI Holdings LLC</v>
          </cell>
          <cell r="F425">
            <v>0</v>
          </cell>
          <cell r="H425">
            <v>0</v>
          </cell>
          <cell r="J425">
            <v>577.79999999999995</v>
          </cell>
          <cell r="K425">
            <v>577.79999999999995</v>
          </cell>
        </row>
        <row r="426">
          <cell r="C426">
            <v>1100</v>
          </cell>
          <cell r="D426" t="str">
            <v>Aflac International</v>
          </cell>
          <cell r="F426">
            <v>145475961.13999999</v>
          </cell>
          <cell r="H426">
            <v>146406414.08000001</v>
          </cell>
          <cell r="J426">
            <v>151017086.58000001</v>
          </cell>
          <cell r="K426">
            <v>151559949.41999999</v>
          </cell>
        </row>
        <row r="427">
          <cell r="C427">
            <v>1120</v>
          </cell>
          <cell r="D427" t="str">
            <v>Aflac Insurance Service</v>
          </cell>
          <cell r="F427">
            <v>0</v>
          </cell>
          <cell r="H427">
            <v>0</v>
          </cell>
          <cell r="J427">
            <v>2662146</v>
          </cell>
          <cell r="K427">
            <v>2662146</v>
          </cell>
        </row>
        <row r="428">
          <cell r="C428">
            <v>1130</v>
          </cell>
          <cell r="D428" t="str">
            <v>Aflac Payment Service</v>
          </cell>
          <cell r="F428">
            <v>0</v>
          </cell>
          <cell r="H428">
            <v>0</v>
          </cell>
          <cell r="J428">
            <v>442922053503</v>
          </cell>
          <cell r="K428">
            <v>381971367789</v>
          </cell>
        </row>
        <row r="429">
          <cell r="C429">
            <v>1150</v>
          </cell>
          <cell r="D429" t="str">
            <v>Aflac Int. Japan Branch</v>
          </cell>
          <cell r="F429">
            <v>0</v>
          </cell>
          <cell r="H429">
            <v>0</v>
          </cell>
          <cell r="J429">
            <v>86765515</v>
          </cell>
          <cell r="K429">
            <v>144034471</v>
          </cell>
        </row>
        <row r="430">
          <cell r="C430">
            <v>1190</v>
          </cell>
          <cell r="D430" t="str">
            <v>Aflac Heartful Services</v>
          </cell>
          <cell r="F430">
            <v>0</v>
          </cell>
          <cell r="H430">
            <v>0</v>
          </cell>
          <cell r="J430">
            <v>0</v>
          </cell>
          <cell r="K430">
            <v>0</v>
          </cell>
        </row>
        <row r="431">
          <cell r="C431">
            <v>1200</v>
          </cell>
          <cell r="D431" t="str">
            <v>Aflac Asset Mgt. LLC</v>
          </cell>
          <cell r="F431">
            <v>21690.01</v>
          </cell>
          <cell r="H431">
            <v>126912.8</v>
          </cell>
          <cell r="J431">
            <v>18958846.43</v>
          </cell>
          <cell r="K431">
            <v>18777865.98</v>
          </cell>
        </row>
        <row r="432">
          <cell r="C432">
            <v>1250</v>
          </cell>
          <cell r="D432" t="str">
            <v>Aflac Asset Mgt Japan</v>
          </cell>
          <cell r="F432">
            <v>0</v>
          </cell>
          <cell r="H432">
            <v>0</v>
          </cell>
          <cell r="J432">
            <v>2214755605</v>
          </cell>
          <cell r="K432">
            <v>3048451878</v>
          </cell>
        </row>
        <row r="433">
          <cell r="C433">
            <v>1300</v>
          </cell>
          <cell r="D433" t="str">
            <v>Aflac Northern Ireland L</v>
          </cell>
          <cell r="F433">
            <v>0</v>
          </cell>
          <cell r="H433">
            <v>3353.62</v>
          </cell>
          <cell r="J433">
            <v>442372.92</v>
          </cell>
          <cell r="K433">
            <v>431822.4</v>
          </cell>
        </row>
        <row r="434">
          <cell r="C434">
            <v>1400</v>
          </cell>
          <cell r="D434" t="str">
            <v>Aflac Information Tech</v>
          </cell>
          <cell r="F434">
            <v>10</v>
          </cell>
          <cell r="H434">
            <v>13504.48</v>
          </cell>
          <cell r="J434">
            <v>229696.87</v>
          </cell>
          <cell r="K434">
            <v>243996.37</v>
          </cell>
        </row>
        <row r="435">
          <cell r="C435">
            <v>1410</v>
          </cell>
          <cell r="D435" t="str">
            <v>Simple Technology LLC</v>
          </cell>
          <cell r="F435">
            <v>0</v>
          </cell>
          <cell r="H435">
            <v>0</v>
          </cell>
          <cell r="J435">
            <v>0</v>
          </cell>
          <cell r="K435">
            <v>0</v>
          </cell>
        </row>
        <row r="436">
          <cell r="C436">
            <v>1500</v>
          </cell>
          <cell r="D436" t="str">
            <v>Aflac Benefits Advisors</v>
          </cell>
          <cell r="F436">
            <v>0</v>
          </cell>
          <cell r="H436">
            <v>0</v>
          </cell>
          <cell r="J436">
            <v>1070.4100000000001</v>
          </cell>
          <cell r="K436">
            <v>994.39</v>
          </cell>
        </row>
        <row r="437">
          <cell r="C437">
            <v>1510</v>
          </cell>
          <cell r="D437" t="str">
            <v>Empowered Benefits, LLC</v>
          </cell>
          <cell r="F437">
            <v>0</v>
          </cell>
          <cell r="H437">
            <v>0</v>
          </cell>
          <cell r="J437">
            <v>0</v>
          </cell>
          <cell r="K437">
            <v>0</v>
          </cell>
        </row>
        <row r="438">
          <cell r="C438">
            <v>1550</v>
          </cell>
          <cell r="D438" t="str">
            <v>Aflac Benefits Advisors</v>
          </cell>
          <cell r="F438">
            <v>0</v>
          </cell>
          <cell r="H438">
            <v>0</v>
          </cell>
          <cell r="J438">
            <v>0</v>
          </cell>
          <cell r="K438">
            <v>0</v>
          </cell>
        </row>
        <row r="439">
          <cell r="C439">
            <v>1600</v>
          </cell>
          <cell r="D439" t="str">
            <v>Communicorp</v>
          </cell>
          <cell r="F439">
            <v>0</v>
          </cell>
          <cell r="H439">
            <v>49949.8</v>
          </cell>
          <cell r="J439">
            <v>3450.61</v>
          </cell>
          <cell r="K439">
            <v>430017.76</v>
          </cell>
        </row>
        <row r="440">
          <cell r="C440">
            <v>1800</v>
          </cell>
          <cell r="D440" t="str">
            <v>Aflac Global Venture LLC</v>
          </cell>
          <cell r="F440">
            <v>0</v>
          </cell>
          <cell r="H440">
            <v>200.28</v>
          </cell>
          <cell r="J440">
            <v>3647292.12</v>
          </cell>
          <cell r="K440">
            <v>4458624.2300000004</v>
          </cell>
        </row>
        <row r="441">
          <cell r="C441">
            <v>1810</v>
          </cell>
          <cell r="D441" t="str">
            <v>Aflac Ventures LLC</v>
          </cell>
          <cell r="F441">
            <v>0</v>
          </cell>
          <cell r="H441">
            <v>0</v>
          </cell>
          <cell r="J441">
            <v>0</v>
          </cell>
          <cell r="K441">
            <v>0</v>
          </cell>
        </row>
        <row r="442">
          <cell r="C442">
            <v>1820</v>
          </cell>
          <cell r="D442" t="str">
            <v>Aflac Ventures Seed Fund</v>
          </cell>
          <cell r="F442">
            <v>0</v>
          </cell>
          <cell r="H442">
            <v>0</v>
          </cell>
          <cell r="J442">
            <v>0</v>
          </cell>
          <cell r="K442">
            <v>694.17</v>
          </cell>
        </row>
        <row r="443">
          <cell r="C443">
            <v>1825</v>
          </cell>
          <cell r="D443" t="str">
            <v>Aflac Ventures India Fun</v>
          </cell>
          <cell r="F443">
            <v>0</v>
          </cell>
          <cell r="H443">
            <v>0</v>
          </cell>
          <cell r="J443">
            <v>304.14</v>
          </cell>
          <cell r="K443">
            <v>304.14</v>
          </cell>
        </row>
        <row r="444">
          <cell r="C444">
            <v>1830</v>
          </cell>
          <cell r="D444" t="str">
            <v>Aflac Ventures Lab</v>
          </cell>
          <cell r="F444">
            <v>0</v>
          </cell>
          <cell r="H444">
            <v>0</v>
          </cell>
          <cell r="J444">
            <v>538.61</v>
          </cell>
          <cell r="K444">
            <v>538.61</v>
          </cell>
        </row>
        <row r="445">
          <cell r="C445">
            <v>1840</v>
          </cell>
          <cell r="D445" t="str">
            <v>Empowered Insure LLC</v>
          </cell>
          <cell r="F445">
            <v>167.58</v>
          </cell>
          <cell r="H445">
            <v>3182.87</v>
          </cell>
          <cell r="J445">
            <v>289560.12</v>
          </cell>
          <cell r="K445">
            <v>486287.23</v>
          </cell>
        </row>
        <row r="446">
          <cell r="C446">
            <v>1860</v>
          </cell>
          <cell r="D446" t="str">
            <v>Aflac Infosec Svcs LLC</v>
          </cell>
          <cell r="F446">
            <v>0</v>
          </cell>
          <cell r="H446">
            <v>729</v>
          </cell>
          <cell r="J446">
            <v>5430.3</v>
          </cell>
          <cell r="K446">
            <v>6084.35</v>
          </cell>
        </row>
        <row r="447">
          <cell r="C447">
            <v>1870</v>
          </cell>
          <cell r="D447" t="str">
            <v>Aflac Ventures Japan</v>
          </cell>
          <cell r="F447">
            <v>0</v>
          </cell>
          <cell r="H447">
            <v>0</v>
          </cell>
          <cell r="J447">
            <v>0</v>
          </cell>
          <cell r="K447">
            <v>0</v>
          </cell>
        </row>
        <row r="448">
          <cell r="C448">
            <v>1871</v>
          </cell>
          <cell r="D448" t="str">
            <v>Hatch Healthcare</v>
          </cell>
          <cell r="F448">
            <v>0</v>
          </cell>
          <cell r="H448">
            <v>0</v>
          </cell>
          <cell r="J448">
            <v>937623</v>
          </cell>
          <cell r="K448">
            <v>928825</v>
          </cell>
        </row>
        <row r="449">
          <cell r="C449">
            <v>2200</v>
          </cell>
          <cell r="D449" t="str">
            <v>Aflac New York</v>
          </cell>
          <cell r="F449">
            <v>1236750.8400000001</v>
          </cell>
          <cell r="H449">
            <v>1710761.7</v>
          </cell>
          <cell r="J449">
            <v>42897540.829999998</v>
          </cell>
          <cell r="K449">
            <v>36917851.280000001</v>
          </cell>
        </row>
        <row r="450">
          <cell r="C450">
            <v>2300</v>
          </cell>
          <cell r="D450" t="str">
            <v>Hong Kong</v>
          </cell>
          <cell r="F450">
            <v>0</v>
          </cell>
          <cell r="H450">
            <v>0</v>
          </cell>
          <cell r="J450">
            <v>0</v>
          </cell>
          <cell r="K450">
            <v>0</v>
          </cell>
        </row>
        <row r="451">
          <cell r="C451">
            <v>2400</v>
          </cell>
          <cell r="D451" t="str">
            <v>Aflac Columbus</v>
          </cell>
          <cell r="F451">
            <v>40895882.850000001</v>
          </cell>
          <cell r="H451">
            <v>40380871.490000002</v>
          </cell>
          <cell r="J451">
            <v>267923477.72999999</v>
          </cell>
          <cell r="K451">
            <v>256696879.13999999</v>
          </cell>
        </row>
        <row r="452">
          <cell r="C452">
            <v>2450</v>
          </cell>
          <cell r="D452" t="str">
            <v>Aflac Columbus Retrocess</v>
          </cell>
          <cell r="F452">
            <v>0</v>
          </cell>
          <cell r="H452">
            <v>0</v>
          </cell>
          <cell r="J452">
            <v>43428475.859999999</v>
          </cell>
          <cell r="K452">
            <v>40645123.469999999</v>
          </cell>
        </row>
        <row r="453">
          <cell r="C453">
            <v>2500</v>
          </cell>
          <cell r="D453" t="str">
            <v>Continental American Ins</v>
          </cell>
          <cell r="F453">
            <v>2219970.65</v>
          </cell>
          <cell r="H453">
            <v>1971004.12</v>
          </cell>
          <cell r="J453">
            <v>72052995.299999997</v>
          </cell>
          <cell r="K453">
            <v>77856441.170000002</v>
          </cell>
        </row>
        <row r="454">
          <cell r="C454">
            <v>2550</v>
          </cell>
          <cell r="D454" t="str">
            <v>Continental American Ins</v>
          </cell>
          <cell r="F454">
            <v>0</v>
          </cell>
          <cell r="H454">
            <v>0</v>
          </cell>
          <cell r="J454">
            <v>0</v>
          </cell>
          <cell r="K454">
            <v>0</v>
          </cell>
        </row>
        <row r="455">
          <cell r="C455">
            <v>2560</v>
          </cell>
          <cell r="D455" t="str">
            <v>CAIC - PFML</v>
          </cell>
          <cell r="F455">
            <v>7509.41</v>
          </cell>
          <cell r="H455">
            <v>21916.14</v>
          </cell>
          <cell r="J455">
            <v>12727246.92</v>
          </cell>
          <cell r="K455">
            <v>11178456.18</v>
          </cell>
        </row>
        <row r="456">
          <cell r="C456">
            <v>2600</v>
          </cell>
          <cell r="D456" t="str">
            <v>Tier One Insurance Comp.</v>
          </cell>
          <cell r="F456">
            <v>18273313.27</v>
          </cell>
          <cell r="H456">
            <v>18329328.629999999</v>
          </cell>
          <cell r="J456">
            <v>80792269.75</v>
          </cell>
          <cell r="K456">
            <v>84809029.939999998</v>
          </cell>
        </row>
        <row r="457">
          <cell r="C457">
            <v>2810</v>
          </cell>
          <cell r="D457" t="str">
            <v>Aflac Benefits Solutions</v>
          </cell>
          <cell r="F457">
            <v>0</v>
          </cell>
          <cell r="H457">
            <v>325.08</v>
          </cell>
          <cell r="J457">
            <v>2807708.41</v>
          </cell>
          <cell r="K457">
            <v>1542455.59</v>
          </cell>
        </row>
        <row r="458">
          <cell r="C458">
            <v>2900</v>
          </cell>
          <cell r="D458" t="str">
            <v>Aflac Re Bermuda Ltd.</v>
          </cell>
          <cell r="F458">
            <v>116893441.31</v>
          </cell>
          <cell r="H458">
            <v>72977488.079999998</v>
          </cell>
          <cell r="J458">
            <v>285786503.93000001</v>
          </cell>
          <cell r="K458">
            <v>263083104.13</v>
          </cell>
        </row>
        <row r="459">
          <cell r="C459">
            <v>3000</v>
          </cell>
          <cell r="D459" t="str">
            <v>Aflac Holdings LLC</v>
          </cell>
          <cell r="F459">
            <v>0</v>
          </cell>
          <cell r="H459">
            <v>0</v>
          </cell>
          <cell r="J459">
            <v>13799255</v>
          </cell>
          <cell r="K459">
            <v>19795002</v>
          </cell>
        </row>
        <row r="460">
          <cell r="C460">
            <v>3100</v>
          </cell>
          <cell r="D460" t="str">
            <v>Aflac Life Ins Japan</v>
          </cell>
          <cell r="F460">
            <v>31983010</v>
          </cell>
          <cell r="H460">
            <v>164292600</v>
          </cell>
          <cell r="J460">
            <v>12110260792</v>
          </cell>
          <cell r="K460">
            <v>12432070830</v>
          </cell>
        </row>
        <row r="461">
          <cell r="C461">
            <v>3110</v>
          </cell>
          <cell r="D461" t="str">
            <v>Tsusan KK</v>
          </cell>
          <cell r="F461">
            <v>0</v>
          </cell>
          <cell r="H461">
            <v>0</v>
          </cell>
          <cell r="J461">
            <v>0</v>
          </cell>
          <cell r="K461">
            <v>0</v>
          </cell>
        </row>
        <row r="462">
          <cell r="C462">
            <v>3140</v>
          </cell>
          <cell r="D462" t="str">
            <v>Aflac Small Insurance</v>
          </cell>
          <cell r="F462">
            <v>0</v>
          </cell>
          <cell r="H462">
            <v>0</v>
          </cell>
          <cell r="J462">
            <v>25209399</v>
          </cell>
          <cell r="K462">
            <v>25230581</v>
          </cell>
        </row>
        <row r="464">
          <cell r="B464" t="str">
            <v>*</v>
          </cell>
          <cell r="F464">
            <v>0</v>
          </cell>
          <cell r="H464">
            <v>3353.62</v>
          </cell>
          <cell r="J464">
            <v>442372.92</v>
          </cell>
          <cell r="K464">
            <v>431822.4</v>
          </cell>
        </row>
        <row r="465">
          <cell r="F465">
            <v>0</v>
          </cell>
          <cell r="H465">
            <v>0</v>
          </cell>
          <cell r="J465">
            <v>0</v>
          </cell>
          <cell r="K465">
            <v>0</v>
          </cell>
        </row>
        <row r="466">
          <cell r="F466">
            <v>31983010</v>
          </cell>
          <cell r="H466">
            <v>164292600</v>
          </cell>
          <cell r="J466">
            <v>457376443838</v>
          </cell>
          <cell r="K466">
            <v>397644541522</v>
          </cell>
        </row>
        <row r="467">
          <cell r="F467">
            <v>471664887.54000002</v>
          </cell>
          <cell r="H467">
            <v>428465744.81999999</v>
          </cell>
          <cell r="J467">
            <v>1244557268.95</v>
          </cell>
          <cell r="K467">
            <v>1220200898.03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3" displayName="Table3" ref="A4:I122" totalsRowShown="0" headerRowDxfId="9" dataDxfId="8">
  <autoFilter ref="A4:I122" xr:uid="{00000000-0009-0000-0100-000001000000}"/>
  <tableColumns count="9">
    <tableColumn id="1" xr3:uid="{00000000-0010-0000-0000-000001000000}" name="Code" dataDxfId="7"/>
    <tableColumn id="2" xr3:uid="{00000000-0010-0000-0000-000002000000}" name="Description"/>
    <tableColumn id="3" xr3:uid="{00000000-0010-0000-0000-000003000000}" name="Amount" dataDxfId="6" dataCellStyle="Currency">
      <calculatedColumnFormula>IFERROR(INDEX('Kyriba PET Upload'!$B:$B,MATCH(A5,'Kyriba PET Upload'!$A:$A,0)),"")</calculatedColumnFormula>
    </tableColumn>
    <tableColumn id="4" xr3:uid="{00000000-0010-0000-0000-000004000000}" name="Kyriba Code " dataDxfId="5"/>
    <tableColumn id="5" xr3:uid="{00000000-0010-0000-0000-000005000000}" name="Debit Payable" dataDxfId="4"/>
    <tableColumn id="6" xr3:uid="{00000000-0010-0000-0000-000006000000}" name="Credit Bank" dataDxfId="3"/>
    <tableColumn id="7" xr3:uid="{00000000-0010-0000-0000-000007000000}" name="Kyriba Code 2" dataDxfId="2"/>
    <tableColumn id="8" xr3:uid="{00000000-0010-0000-0000-000008000000}" name="Debit Bank" dataDxfId="1"/>
    <tableColumn id="9" xr3:uid="{00000000-0010-0000-0000-000009000000}" name="Credit Receivable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162"/>
  <sheetViews>
    <sheetView topLeftCell="A8" workbookViewId="0">
      <selection activeCell="R28" sqref="R28"/>
    </sheetView>
  </sheetViews>
  <sheetFormatPr defaultColWidth="9.140625" defaultRowHeight="12.75" x14ac:dyDescent="0.2"/>
  <cols>
    <col min="1" max="1" width="9.140625" style="50" customWidth="1"/>
    <col min="2" max="2" width="6.5703125" style="50" customWidth="1"/>
    <col min="3" max="3" width="9.140625" style="50" customWidth="1"/>
    <col min="4" max="16384" width="9.140625" style="50"/>
  </cols>
  <sheetData>
    <row r="1" spans="1:10" x14ac:dyDescent="0.2">
      <c r="B1" s="50" t="s">
        <v>540</v>
      </c>
    </row>
    <row r="2" spans="1:10" ht="15" customHeight="1" x14ac:dyDescent="0.2">
      <c r="A2" s="50">
        <v>1</v>
      </c>
      <c r="B2" s="51" t="s">
        <v>541</v>
      </c>
      <c r="C2" s="51"/>
      <c r="D2" s="51"/>
    </row>
    <row r="3" spans="1:10" ht="15" customHeight="1" x14ac:dyDescent="0.2">
      <c r="A3" s="50">
        <v>2</v>
      </c>
      <c r="B3" s="51" t="s">
        <v>542</v>
      </c>
      <c r="C3" s="51"/>
      <c r="D3" s="51"/>
    </row>
    <row r="4" spans="1:10" ht="15" customHeight="1" x14ac:dyDescent="0.2">
      <c r="A4" s="50">
        <v>3</v>
      </c>
      <c r="B4" s="51" t="s">
        <v>543</v>
      </c>
      <c r="C4" s="51"/>
      <c r="D4" s="51"/>
    </row>
    <row r="5" spans="1:10" ht="15" customHeight="1" x14ac:dyDescent="0.2">
      <c r="B5" s="51"/>
      <c r="C5" s="51" t="s">
        <v>544</v>
      </c>
      <c r="D5" s="51"/>
    </row>
    <row r="6" spans="1:10" ht="15" customHeight="1" x14ac:dyDescent="0.2">
      <c r="B6" s="51"/>
      <c r="C6" s="51" t="s">
        <v>545</v>
      </c>
      <c r="D6" s="51"/>
    </row>
    <row r="7" spans="1:10" ht="15" customHeight="1" x14ac:dyDescent="0.2">
      <c r="A7" s="50">
        <v>4</v>
      </c>
      <c r="B7" s="51" t="s">
        <v>546</v>
      </c>
      <c r="C7" s="51"/>
      <c r="D7" s="51"/>
    </row>
    <row r="8" spans="1:10" ht="15" customHeight="1" x14ac:dyDescent="0.2">
      <c r="A8" s="50">
        <v>5</v>
      </c>
      <c r="B8" s="51" t="s">
        <v>547</v>
      </c>
      <c r="C8" s="51"/>
      <c r="D8" s="51"/>
    </row>
    <row r="9" spans="1:10" ht="15" customHeight="1" x14ac:dyDescent="0.2">
      <c r="A9" s="50">
        <v>6</v>
      </c>
      <c r="B9" s="51" t="s">
        <v>548</v>
      </c>
      <c r="C9" s="51"/>
      <c r="D9" s="51"/>
    </row>
    <row r="10" spans="1:10" ht="15" customHeight="1" x14ac:dyDescent="0.2">
      <c r="B10" s="51"/>
      <c r="C10" s="51" t="s">
        <v>549</v>
      </c>
      <c r="D10" s="51"/>
    </row>
    <row r="11" spans="1:10" ht="15" customHeight="1" x14ac:dyDescent="0.2">
      <c r="B11" s="51"/>
      <c r="C11" s="51" t="s">
        <v>550</v>
      </c>
      <c r="D11" s="51"/>
    </row>
    <row r="12" spans="1:10" ht="15" customHeight="1" x14ac:dyDescent="0.2">
      <c r="B12" s="51"/>
      <c r="C12" s="51" t="s">
        <v>551</v>
      </c>
      <c r="D12" s="51"/>
    </row>
    <row r="13" spans="1:10" ht="15" customHeight="1" x14ac:dyDescent="0.2">
      <c r="B13" s="51"/>
      <c r="C13" s="51" t="s">
        <v>552</v>
      </c>
      <c r="D13" s="51"/>
    </row>
    <row r="14" spans="1:10" ht="15" customHeight="1" x14ac:dyDescent="0.2">
      <c r="B14" s="51"/>
      <c r="C14" s="51" t="s">
        <v>553</v>
      </c>
      <c r="D14" s="51"/>
    </row>
    <row r="15" spans="1:10" ht="15" customHeight="1" x14ac:dyDescent="0.2">
      <c r="B15" s="51"/>
      <c r="C15" s="51" t="s">
        <v>554</v>
      </c>
      <c r="D15" s="51"/>
    </row>
    <row r="16" spans="1:10" ht="15" customHeight="1" x14ac:dyDescent="0.2">
      <c r="B16" s="51"/>
      <c r="C16" s="50" t="s">
        <v>555</v>
      </c>
      <c r="D16" s="51"/>
      <c r="F16" s="51"/>
      <c r="H16" s="51"/>
      <c r="J16" s="51"/>
    </row>
    <row r="17" spans="1:10" ht="15" customHeight="1" x14ac:dyDescent="0.2">
      <c r="A17" s="50">
        <v>7</v>
      </c>
      <c r="B17" s="51" t="s">
        <v>556</v>
      </c>
      <c r="D17" s="51"/>
      <c r="F17" s="51"/>
      <c r="H17" s="51"/>
      <c r="J17" s="51"/>
    </row>
    <row r="18" spans="1:10" ht="15" customHeight="1" x14ac:dyDescent="0.2">
      <c r="B18" s="51"/>
      <c r="D18" s="51"/>
      <c r="F18" s="51"/>
      <c r="H18" s="51"/>
      <c r="J18" s="51"/>
    </row>
    <row r="19" spans="1:10" ht="15" customHeight="1" x14ac:dyDescent="0.2">
      <c r="B19" s="51"/>
      <c r="D19" s="51"/>
      <c r="F19" s="51"/>
      <c r="H19" s="51"/>
      <c r="J19" s="51"/>
    </row>
    <row r="20" spans="1:10" ht="15" customHeight="1" x14ac:dyDescent="0.2">
      <c r="B20" s="51"/>
      <c r="D20" s="51"/>
      <c r="F20" s="51"/>
      <c r="H20" s="51"/>
      <c r="J20" s="51"/>
    </row>
    <row r="21" spans="1:10" ht="15" customHeight="1" x14ac:dyDescent="0.2">
      <c r="B21" s="51"/>
      <c r="D21" s="51"/>
      <c r="F21" s="51"/>
      <c r="H21" s="51"/>
      <c r="J21" s="51"/>
    </row>
    <row r="22" spans="1:10" ht="15" customHeight="1" x14ac:dyDescent="0.2">
      <c r="B22" s="51"/>
      <c r="D22" s="51"/>
      <c r="F22" s="51"/>
      <c r="H22" s="51"/>
      <c r="J22" s="51"/>
    </row>
    <row r="23" spans="1:10" ht="15" customHeight="1" x14ac:dyDescent="0.2">
      <c r="B23" s="51" t="s">
        <v>557</v>
      </c>
      <c r="D23" s="51"/>
      <c r="F23" s="51"/>
      <c r="H23" s="51"/>
      <c r="J23" s="51"/>
    </row>
    <row r="24" spans="1:10" ht="15" customHeight="1" x14ac:dyDescent="0.2">
      <c r="B24" s="51" t="s">
        <v>558</v>
      </c>
      <c r="D24" s="51"/>
      <c r="F24" s="51"/>
      <c r="H24" s="51"/>
      <c r="J24" s="51"/>
    </row>
    <row r="25" spans="1:10" ht="15" customHeight="1" x14ac:dyDescent="0.2">
      <c r="B25" s="51"/>
      <c r="D25" s="51"/>
      <c r="F25" s="51"/>
      <c r="H25" s="51"/>
      <c r="J25" s="51"/>
    </row>
    <row r="26" spans="1:10" ht="15" customHeight="1" x14ac:dyDescent="0.2">
      <c r="A26" s="50">
        <v>8</v>
      </c>
      <c r="B26" s="51" t="s">
        <v>559</v>
      </c>
      <c r="D26" s="51"/>
      <c r="F26" s="51"/>
      <c r="H26" s="51"/>
      <c r="J26" s="51"/>
    </row>
    <row r="27" spans="1:10" ht="15" customHeight="1" x14ac:dyDescent="0.2">
      <c r="A27" s="50">
        <v>9</v>
      </c>
      <c r="B27" s="51" t="s">
        <v>560</v>
      </c>
      <c r="D27" s="51"/>
      <c r="F27" s="51"/>
      <c r="H27" s="51"/>
      <c r="J27" s="51"/>
    </row>
    <row r="28" spans="1:10" ht="15" customHeight="1" x14ac:dyDescent="0.2">
      <c r="A28" s="50">
        <v>10</v>
      </c>
      <c r="B28" s="51" t="s">
        <v>561</v>
      </c>
      <c r="D28" s="51"/>
      <c r="F28" s="51"/>
      <c r="H28" s="51"/>
      <c r="J28" s="51"/>
    </row>
    <row r="29" spans="1:10" ht="15" customHeight="1" x14ac:dyDescent="0.2">
      <c r="A29" s="50">
        <v>11</v>
      </c>
      <c r="B29" s="51" t="s">
        <v>562</v>
      </c>
      <c r="D29" s="51"/>
      <c r="F29" s="51"/>
      <c r="H29" s="51"/>
      <c r="J29" s="51"/>
    </row>
    <row r="30" spans="1:10" ht="15" customHeight="1" x14ac:dyDescent="0.2">
      <c r="A30" s="50">
        <v>12</v>
      </c>
      <c r="B30" s="51" t="s">
        <v>563</v>
      </c>
      <c r="D30" s="51"/>
      <c r="F30" s="51"/>
      <c r="H30" s="51"/>
      <c r="J30" s="51"/>
    </row>
    <row r="31" spans="1:10" ht="15" customHeight="1" x14ac:dyDescent="0.2">
      <c r="B31" s="51"/>
      <c r="D31" s="51"/>
      <c r="F31" s="51"/>
      <c r="H31" s="51"/>
      <c r="J31" s="51"/>
    </row>
    <row r="32" spans="1:10" ht="15" customHeight="1" x14ac:dyDescent="0.2">
      <c r="A32" s="50">
        <v>13</v>
      </c>
      <c r="B32" s="51" t="s">
        <v>564</v>
      </c>
      <c r="D32" s="51"/>
      <c r="F32" s="51"/>
      <c r="H32" s="51"/>
      <c r="J32" s="51"/>
    </row>
    <row r="33" spans="1:10" ht="15" customHeight="1" x14ac:dyDescent="0.2">
      <c r="B33" s="51" t="s">
        <v>565</v>
      </c>
      <c r="D33" s="51"/>
      <c r="F33" s="51"/>
      <c r="H33" s="51"/>
      <c r="J33" s="51"/>
    </row>
    <row r="34" spans="1:10" ht="15" customHeight="1" x14ac:dyDescent="0.2">
      <c r="B34" s="51" t="s">
        <v>566</v>
      </c>
      <c r="D34" s="51"/>
      <c r="F34" s="51"/>
      <c r="H34" s="51"/>
      <c r="J34" s="51"/>
    </row>
    <row r="35" spans="1:10" ht="15" customHeight="1" x14ac:dyDescent="0.2">
      <c r="D35" s="51"/>
      <c r="F35" s="51"/>
      <c r="H35" s="51"/>
      <c r="J35" s="51"/>
    </row>
    <row r="36" spans="1:10" ht="15" customHeight="1" x14ac:dyDescent="0.2">
      <c r="D36" s="51"/>
      <c r="F36" s="51"/>
      <c r="H36" s="51"/>
      <c r="J36" s="51"/>
    </row>
    <row r="37" spans="1:10" ht="15" customHeight="1" x14ac:dyDescent="0.2">
      <c r="B37" s="51"/>
      <c r="D37" s="51"/>
      <c r="F37" s="51"/>
      <c r="H37" s="51"/>
      <c r="J37" s="51"/>
    </row>
    <row r="38" spans="1:10" ht="15" customHeight="1" x14ac:dyDescent="0.2">
      <c r="B38" s="51"/>
      <c r="D38" s="51"/>
      <c r="F38" s="51"/>
      <c r="H38" s="51"/>
      <c r="J38" s="51"/>
    </row>
    <row r="39" spans="1:10" ht="15" customHeight="1" x14ac:dyDescent="0.2">
      <c r="B39" s="51"/>
      <c r="J39" s="51"/>
    </row>
    <row r="40" spans="1:10" ht="15" customHeight="1" x14ac:dyDescent="0.2">
      <c r="B40" s="51"/>
      <c r="D40" s="51"/>
      <c r="F40" s="51"/>
      <c r="H40" s="51"/>
      <c r="J40" s="51"/>
    </row>
    <row r="41" spans="1:10" ht="15" customHeight="1" x14ac:dyDescent="0.2">
      <c r="B41" s="51"/>
      <c r="D41" s="51"/>
      <c r="F41" s="51"/>
      <c r="H41" s="51"/>
      <c r="J41" s="51"/>
    </row>
    <row r="44" spans="1:10" ht="15.75" customHeight="1" x14ac:dyDescent="0.25">
      <c r="A44" s="50">
        <v>13</v>
      </c>
      <c r="B44" s="51" t="s">
        <v>567</v>
      </c>
      <c r="C44" s="52"/>
      <c r="D44" s="51"/>
      <c r="F44" s="51"/>
      <c r="H44" s="51"/>
      <c r="J44" s="51"/>
    </row>
    <row r="45" spans="1:10" ht="15" customHeight="1" x14ac:dyDescent="0.2">
      <c r="B45" s="51" t="s">
        <v>568</v>
      </c>
      <c r="D45" s="51"/>
      <c r="F45" s="51"/>
      <c r="H45" s="51"/>
      <c r="J45" s="51"/>
    </row>
    <row r="46" spans="1:10" ht="15" customHeight="1" x14ac:dyDescent="0.2">
      <c r="B46" s="51" t="s">
        <v>569</v>
      </c>
      <c r="D46" s="51"/>
      <c r="F46" s="51"/>
      <c r="H46" s="51"/>
      <c r="J46" s="51"/>
    </row>
    <row r="47" spans="1:10" ht="15" customHeight="1" x14ac:dyDescent="0.2">
      <c r="B47" s="51"/>
      <c r="C47" s="50" t="s">
        <v>570</v>
      </c>
      <c r="D47" s="51"/>
      <c r="F47" s="51"/>
      <c r="H47" s="51"/>
      <c r="J47" s="51"/>
    </row>
    <row r="48" spans="1:10" ht="15" customHeight="1" x14ac:dyDescent="0.2">
      <c r="B48" s="51" t="s">
        <v>571</v>
      </c>
      <c r="D48" s="51"/>
      <c r="F48" s="51"/>
      <c r="H48" s="51"/>
      <c r="J48" s="51"/>
    </row>
    <row r="49" spans="1:10" ht="15" customHeight="1" x14ac:dyDescent="0.2">
      <c r="A49" s="50">
        <v>14</v>
      </c>
      <c r="B49" s="51" t="s">
        <v>572</v>
      </c>
      <c r="D49" s="51"/>
      <c r="F49" s="51"/>
      <c r="H49" s="51"/>
      <c r="J49" s="51"/>
    </row>
    <row r="50" spans="1:10" ht="15" customHeight="1" x14ac:dyDescent="0.2">
      <c r="B50" s="51" t="s">
        <v>573</v>
      </c>
      <c r="D50" s="51"/>
      <c r="F50" s="51"/>
      <c r="H50" s="51"/>
      <c r="J50" s="51"/>
    </row>
    <row r="51" spans="1:10" ht="15" customHeight="1" x14ac:dyDescent="0.2">
      <c r="A51" s="50">
        <v>15</v>
      </c>
      <c r="B51" s="51" t="s">
        <v>574</v>
      </c>
      <c r="D51" s="51"/>
      <c r="F51" s="51"/>
      <c r="H51" s="51"/>
      <c r="J51" s="51"/>
    </row>
    <row r="52" spans="1:10" ht="15" customHeight="1" x14ac:dyDescent="0.2">
      <c r="B52" s="51" t="s">
        <v>575</v>
      </c>
      <c r="D52" s="51"/>
      <c r="F52" s="51"/>
      <c r="H52" s="51"/>
      <c r="J52" s="51"/>
    </row>
    <row r="53" spans="1:10" ht="15" customHeight="1" x14ac:dyDescent="0.2">
      <c r="B53" s="51" t="s">
        <v>576</v>
      </c>
      <c r="D53" s="51"/>
      <c r="F53" s="51"/>
      <c r="H53" s="51"/>
      <c r="J53" s="51"/>
    </row>
    <row r="54" spans="1:10" ht="15" customHeight="1" x14ac:dyDescent="0.2">
      <c r="A54" s="50">
        <v>16</v>
      </c>
      <c r="B54" s="51" t="s">
        <v>577</v>
      </c>
      <c r="C54" s="53"/>
      <c r="D54" s="51"/>
      <c r="F54" s="51"/>
      <c r="H54" s="51"/>
      <c r="J54" s="51"/>
    </row>
    <row r="55" spans="1:10" ht="15" customHeight="1" x14ac:dyDescent="0.2">
      <c r="B55" s="51" t="s">
        <v>578</v>
      </c>
      <c r="C55" s="53"/>
      <c r="D55" s="51"/>
      <c r="F55" s="51"/>
      <c r="H55" s="51"/>
      <c r="J55" s="51"/>
    </row>
    <row r="56" spans="1:10" ht="15" customHeight="1" x14ac:dyDescent="0.2">
      <c r="A56" s="50">
        <v>17</v>
      </c>
      <c r="B56" s="51" t="s">
        <v>579</v>
      </c>
      <c r="C56" s="53"/>
      <c r="D56" s="51"/>
      <c r="F56" s="51"/>
      <c r="H56" s="51"/>
      <c r="J56" s="51"/>
    </row>
    <row r="57" spans="1:10" ht="15" customHeight="1" x14ac:dyDescent="0.2">
      <c r="D57" s="51"/>
      <c r="F57" s="51"/>
      <c r="H57" s="51"/>
      <c r="J57" s="51"/>
    </row>
    <row r="58" spans="1:10" ht="15" customHeight="1" x14ac:dyDescent="0.2">
      <c r="B58" s="51" t="s">
        <v>580</v>
      </c>
      <c r="D58" s="51"/>
      <c r="F58" s="51"/>
      <c r="H58" s="51"/>
      <c r="J58" s="51"/>
    </row>
    <row r="59" spans="1:10" ht="15" customHeight="1" x14ac:dyDescent="0.2">
      <c r="D59" s="51"/>
      <c r="F59" s="51"/>
      <c r="H59" s="51"/>
      <c r="J59" s="51"/>
    </row>
    <row r="60" spans="1:10" ht="15" customHeight="1" x14ac:dyDescent="0.2">
      <c r="B60" s="51"/>
      <c r="D60" s="51"/>
      <c r="F60" s="51"/>
      <c r="H60" s="51"/>
      <c r="J60" s="51"/>
    </row>
    <row r="61" spans="1:10" ht="15" customHeight="1" x14ac:dyDescent="0.2">
      <c r="D61" s="51"/>
      <c r="F61" s="51"/>
      <c r="H61" s="51"/>
      <c r="J61" s="51"/>
    </row>
    <row r="62" spans="1:10" ht="15" customHeight="1" x14ac:dyDescent="0.2">
      <c r="D62" s="51"/>
      <c r="F62" s="51"/>
      <c r="H62" s="51"/>
      <c r="J62" s="51"/>
    </row>
    <row r="63" spans="1:10" ht="15" customHeight="1" x14ac:dyDescent="0.2">
      <c r="B63" s="51"/>
      <c r="D63" s="51"/>
      <c r="F63" s="51"/>
      <c r="H63" s="51"/>
      <c r="J63" s="51"/>
    </row>
    <row r="64" spans="1:10" ht="15.75" customHeight="1" thickBot="1" x14ac:dyDescent="0.25">
      <c r="B64" s="51"/>
      <c r="D64" s="51"/>
      <c r="F64" s="51"/>
      <c r="H64" s="51"/>
      <c r="J64" s="51"/>
    </row>
    <row r="65" spans="2:10" ht="15" customHeight="1" x14ac:dyDescent="0.2">
      <c r="B65" s="54" t="s">
        <v>581</v>
      </c>
      <c r="C65" s="55"/>
      <c r="D65" s="55"/>
      <c r="E65" s="55"/>
      <c r="F65" s="55"/>
      <c r="G65" s="55"/>
      <c r="H65" s="55"/>
      <c r="I65" s="55"/>
      <c r="J65" s="56"/>
    </row>
    <row r="66" spans="2:10" ht="15.75" customHeight="1" thickBot="1" x14ac:dyDescent="0.25">
      <c r="B66" s="57" t="s">
        <v>582</v>
      </c>
      <c r="C66" s="58"/>
      <c r="D66" s="58"/>
      <c r="E66" s="58"/>
      <c r="F66" s="58"/>
      <c r="G66" s="58"/>
      <c r="H66" s="58"/>
      <c r="I66" s="58"/>
      <c r="J66" s="59"/>
    </row>
    <row r="67" spans="2:10" ht="15" customHeight="1" x14ac:dyDescent="0.2">
      <c r="J67" s="51"/>
    </row>
    <row r="68" spans="2:10" ht="15" customHeight="1" x14ac:dyDescent="0.2">
      <c r="J68" s="51"/>
    </row>
    <row r="69" spans="2:10" ht="15" customHeight="1" x14ac:dyDescent="0.2">
      <c r="J69" s="51"/>
    </row>
    <row r="70" spans="2:10" ht="15" customHeight="1" x14ac:dyDescent="0.2">
      <c r="J70" s="51"/>
    </row>
    <row r="71" spans="2:10" ht="15" customHeight="1" x14ac:dyDescent="0.2">
      <c r="B71" s="51"/>
      <c r="D71" s="51"/>
      <c r="F71" s="51"/>
      <c r="H71" s="51"/>
      <c r="J71" s="51"/>
    </row>
    <row r="72" spans="2:10" ht="15" customHeight="1" x14ac:dyDescent="0.2">
      <c r="B72" s="51"/>
      <c r="D72" s="51"/>
      <c r="F72" s="51"/>
      <c r="H72" s="51"/>
      <c r="J72" s="51"/>
    </row>
    <row r="73" spans="2:10" ht="15" customHeight="1" x14ac:dyDescent="0.2">
      <c r="B73" s="51"/>
      <c r="D73" s="51"/>
      <c r="F73" s="51"/>
      <c r="H73" s="51"/>
      <c r="J73" s="51"/>
    </row>
    <row r="74" spans="2:10" ht="15" customHeight="1" x14ac:dyDescent="0.2">
      <c r="B74" s="51"/>
      <c r="D74" s="51"/>
      <c r="F74" s="51"/>
      <c r="H74" s="51"/>
      <c r="J74" s="51"/>
    </row>
    <row r="75" spans="2:10" ht="15" customHeight="1" x14ac:dyDescent="0.2">
      <c r="B75" s="51"/>
      <c r="D75" s="51"/>
      <c r="F75" s="51"/>
      <c r="H75" s="51"/>
      <c r="J75" s="51"/>
    </row>
    <row r="76" spans="2:10" ht="15" customHeight="1" x14ac:dyDescent="0.2">
      <c r="B76" s="51"/>
      <c r="D76" s="51"/>
      <c r="F76" s="51"/>
      <c r="H76" s="51"/>
      <c r="J76" s="51"/>
    </row>
    <row r="77" spans="2:10" ht="15" customHeight="1" x14ac:dyDescent="0.2">
      <c r="B77" s="51"/>
      <c r="D77" s="51"/>
      <c r="F77" s="51"/>
      <c r="H77" s="51"/>
      <c r="J77" s="51"/>
    </row>
    <row r="78" spans="2:10" ht="15" customHeight="1" x14ac:dyDescent="0.2">
      <c r="B78" s="51"/>
      <c r="D78" s="51"/>
      <c r="F78" s="51"/>
      <c r="H78" s="51"/>
      <c r="J78" s="51"/>
    </row>
    <row r="79" spans="2:10" ht="15" customHeight="1" x14ac:dyDescent="0.2">
      <c r="B79" s="51"/>
      <c r="D79" s="51"/>
      <c r="F79" s="51"/>
      <c r="H79" s="51"/>
      <c r="J79" s="51"/>
    </row>
    <row r="80" spans="2:10" ht="15" customHeight="1" x14ac:dyDescent="0.2">
      <c r="B80" s="51"/>
      <c r="D80" s="51"/>
      <c r="F80" s="51"/>
      <c r="H80" s="51"/>
      <c r="J80" s="51"/>
    </row>
    <row r="81" spans="2:10" ht="15" customHeight="1" x14ac:dyDescent="0.2">
      <c r="B81" s="51"/>
      <c r="D81" s="51"/>
      <c r="F81" s="51"/>
      <c r="H81" s="51"/>
      <c r="J81" s="51"/>
    </row>
    <row r="82" spans="2:10" ht="15" customHeight="1" x14ac:dyDescent="0.2">
      <c r="B82" s="51"/>
      <c r="D82" s="51"/>
      <c r="F82" s="51"/>
      <c r="H82" s="51"/>
      <c r="J82" s="51"/>
    </row>
    <row r="83" spans="2:10" ht="15" customHeight="1" x14ac:dyDescent="0.2">
      <c r="B83" s="51"/>
      <c r="D83" s="51"/>
      <c r="F83" s="51"/>
      <c r="H83" s="51"/>
      <c r="J83" s="51"/>
    </row>
    <row r="84" spans="2:10" ht="15" customHeight="1" x14ac:dyDescent="0.2">
      <c r="B84" s="51"/>
      <c r="D84" s="51"/>
      <c r="F84" s="51"/>
      <c r="H84" s="51"/>
      <c r="J84" s="51"/>
    </row>
    <row r="85" spans="2:10" ht="15" customHeight="1" x14ac:dyDescent="0.2">
      <c r="B85" s="51"/>
      <c r="D85" s="51"/>
      <c r="F85" s="51"/>
      <c r="H85" s="51"/>
      <c r="J85" s="51"/>
    </row>
    <row r="86" spans="2:10" ht="15" customHeight="1" x14ac:dyDescent="0.2">
      <c r="B86" s="51"/>
      <c r="D86" s="51"/>
      <c r="F86" s="51"/>
      <c r="H86" s="51"/>
      <c r="J86" s="51"/>
    </row>
    <row r="87" spans="2:10" ht="15" customHeight="1" x14ac:dyDescent="0.2">
      <c r="B87" s="51"/>
      <c r="D87" s="51"/>
      <c r="F87" s="51"/>
      <c r="H87" s="51"/>
      <c r="J87" s="51"/>
    </row>
    <row r="88" spans="2:10" ht="15" customHeight="1" x14ac:dyDescent="0.2">
      <c r="B88" s="51"/>
      <c r="D88" s="51"/>
      <c r="F88" s="51"/>
      <c r="H88" s="51"/>
      <c r="J88" s="51"/>
    </row>
    <row r="89" spans="2:10" ht="15" customHeight="1" x14ac:dyDescent="0.2">
      <c r="B89" s="51"/>
      <c r="D89" s="51"/>
      <c r="F89" s="51"/>
      <c r="H89" s="51"/>
      <c r="J89" s="51"/>
    </row>
    <row r="90" spans="2:10" ht="15" customHeight="1" x14ac:dyDescent="0.2">
      <c r="B90" s="51"/>
      <c r="D90" s="51"/>
      <c r="F90" s="51"/>
      <c r="H90" s="51"/>
      <c r="J90" s="51"/>
    </row>
    <row r="91" spans="2:10" ht="15" customHeight="1" x14ac:dyDescent="0.2">
      <c r="B91" s="51"/>
      <c r="D91" s="51"/>
      <c r="F91" s="51"/>
      <c r="H91" s="51"/>
      <c r="J91" s="51"/>
    </row>
    <row r="92" spans="2:10" ht="15" customHeight="1" x14ac:dyDescent="0.2">
      <c r="B92" s="51"/>
      <c r="D92" s="51"/>
      <c r="F92" s="51"/>
      <c r="H92" s="51"/>
      <c r="J92" s="51"/>
    </row>
    <row r="93" spans="2:10" ht="15" customHeight="1" x14ac:dyDescent="0.2">
      <c r="B93" s="51"/>
      <c r="D93" s="51"/>
      <c r="F93" s="51"/>
      <c r="H93" s="51"/>
      <c r="J93" s="51"/>
    </row>
    <row r="94" spans="2:10" ht="15" customHeight="1" x14ac:dyDescent="0.2">
      <c r="B94" s="51"/>
      <c r="D94" s="51"/>
      <c r="F94" s="51"/>
      <c r="H94" s="51"/>
      <c r="J94" s="51"/>
    </row>
    <row r="95" spans="2:10" ht="15" customHeight="1" x14ac:dyDescent="0.2">
      <c r="B95" s="51"/>
      <c r="D95" s="51"/>
      <c r="F95" s="51"/>
      <c r="H95" s="51"/>
      <c r="J95" s="51"/>
    </row>
    <row r="96" spans="2:10" ht="15" customHeight="1" x14ac:dyDescent="0.2">
      <c r="B96" s="51"/>
      <c r="D96" s="51"/>
      <c r="F96" s="51"/>
      <c r="H96" s="51"/>
      <c r="J96" s="51"/>
    </row>
    <row r="97" spans="2:10" ht="15" customHeight="1" x14ac:dyDescent="0.2">
      <c r="B97" s="51"/>
      <c r="D97" s="51"/>
      <c r="F97" s="51"/>
      <c r="H97" s="51"/>
      <c r="J97" s="51"/>
    </row>
    <row r="98" spans="2:10" ht="15" customHeight="1" x14ac:dyDescent="0.2">
      <c r="B98" s="51"/>
      <c r="D98" s="51"/>
      <c r="F98" s="51"/>
      <c r="H98" s="51"/>
      <c r="J98" s="51"/>
    </row>
    <row r="99" spans="2:10" ht="15" customHeight="1" x14ac:dyDescent="0.2">
      <c r="B99" s="51"/>
      <c r="D99" s="51"/>
      <c r="F99" s="51"/>
      <c r="H99" s="51"/>
      <c r="J99" s="51"/>
    </row>
    <row r="100" spans="2:10" ht="15" customHeight="1" x14ac:dyDescent="0.2">
      <c r="B100" s="51"/>
      <c r="D100" s="51"/>
      <c r="F100" s="51"/>
      <c r="H100" s="51"/>
      <c r="J100" s="51"/>
    </row>
    <row r="101" spans="2:10" ht="15" customHeight="1" x14ac:dyDescent="0.2">
      <c r="B101" s="51"/>
      <c r="D101" s="51"/>
      <c r="F101" s="51"/>
      <c r="H101" s="51"/>
      <c r="J101" s="51"/>
    </row>
    <row r="102" spans="2:10" ht="15" customHeight="1" x14ac:dyDescent="0.2">
      <c r="B102" s="51"/>
      <c r="D102" s="51"/>
      <c r="F102" s="51"/>
      <c r="H102" s="51"/>
      <c r="J102" s="51"/>
    </row>
    <row r="103" spans="2:10" ht="15" customHeight="1" x14ac:dyDescent="0.2">
      <c r="B103" s="51"/>
      <c r="D103" s="51"/>
      <c r="F103" s="51"/>
      <c r="H103" s="51"/>
      <c r="J103" s="51"/>
    </row>
    <row r="104" spans="2:10" ht="15" customHeight="1" x14ac:dyDescent="0.2">
      <c r="B104" s="51"/>
      <c r="D104" s="51"/>
      <c r="F104" s="51"/>
      <c r="H104" s="51"/>
      <c r="J104" s="51"/>
    </row>
    <row r="105" spans="2:10" ht="15" customHeight="1" x14ac:dyDescent="0.2">
      <c r="B105" s="51"/>
      <c r="D105" s="51"/>
      <c r="F105" s="51"/>
      <c r="H105" s="51"/>
      <c r="J105" s="51"/>
    </row>
    <row r="106" spans="2:10" ht="15" customHeight="1" x14ac:dyDescent="0.2">
      <c r="B106" s="51"/>
      <c r="D106" s="51"/>
      <c r="F106" s="51"/>
      <c r="H106" s="51"/>
      <c r="J106" s="51"/>
    </row>
    <row r="107" spans="2:10" ht="15" customHeight="1" x14ac:dyDescent="0.2">
      <c r="B107" s="51"/>
      <c r="D107" s="51"/>
      <c r="F107" s="51"/>
      <c r="H107" s="51"/>
      <c r="J107" s="51"/>
    </row>
    <row r="108" spans="2:10" ht="15" customHeight="1" x14ac:dyDescent="0.2">
      <c r="B108" s="51"/>
      <c r="D108" s="51"/>
      <c r="F108" s="51"/>
      <c r="H108" s="51"/>
      <c r="J108" s="51"/>
    </row>
    <row r="109" spans="2:10" ht="15" customHeight="1" x14ac:dyDescent="0.2">
      <c r="B109" s="51"/>
      <c r="D109" s="51"/>
      <c r="F109" s="51"/>
      <c r="H109" s="51"/>
      <c r="J109" s="51"/>
    </row>
    <row r="110" spans="2:10" ht="15" customHeight="1" x14ac:dyDescent="0.2">
      <c r="B110" s="51"/>
      <c r="D110" s="51"/>
      <c r="F110" s="51"/>
      <c r="H110" s="51"/>
      <c r="J110" s="51"/>
    </row>
    <row r="111" spans="2:10" ht="15" customHeight="1" x14ac:dyDescent="0.2">
      <c r="B111" s="51"/>
      <c r="D111" s="51"/>
      <c r="F111" s="51"/>
      <c r="H111" s="51"/>
      <c r="J111" s="51"/>
    </row>
    <row r="112" spans="2:10" ht="15" customHeight="1" x14ac:dyDescent="0.2">
      <c r="B112" s="51"/>
      <c r="D112" s="51"/>
      <c r="F112" s="51"/>
      <c r="H112" s="51"/>
      <c r="J112" s="51"/>
    </row>
    <row r="113" spans="2:10" ht="15" customHeight="1" x14ac:dyDescent="0.2">
      <c r="B113" s="51"/>
      <c r="D113" s="51"/>
      <c r="F113" s="51"/>
      <c r="H113" s="51"/>
      <c r="J113" s="51"/>
    </row>
    <row r="114" spans="2:10" ht="15" customHeight="1" x14ac:dyDescent="0.2">
      <c r="B114" s="51"/>
      <c r="D114" s="51"/>
      <c r="F114" s="51"/>
      <c r="H114" s="51"/>
      <c r="J114" s="51"/>
    </row>
    <row r="115" spans="2:10" ht="15" customHeight="1" x14ac:dyDescent="0.2">
      <c r="B115" s="51"/>
      <c r="D115" s="51"/>
      <c r="F115" s="51"/>
      <c r="H115" s="51"/>
      <c r="J115" s="51"/>
    </row>
    <row r="116" spans="2:10" ht="15" customHeight="1" x14ac:dyDescent="0.2">
      <c r="B116" s="51"/>
      <c r="D116" s="51"/>
      <c r="F116" s="51"/>
      <c r="H116" s="51"/>
      <c r="J116" s="51"/>
    </row>
    <row r="117" spans="2:10" ht="15" customHeight="1" x14ac:dyDescent="0.2">
      <c r="B117" s="51"/>
      <c r="D117" s="51"/>
      <c r="F117" s="51"/>
      <c r="H117" s="51"/>
      <c r="J117" s="51"/>
    </row>
    <row r="118" spans="2:10" ht="15" customHeight="1" x14ac:dyDescent="0.2">
      <c r="B118" s="51"/>
      <c r="D118" s="51"/>
      <c r="F118" s="51"/>
      <c r="H118" s="51"/>
      <c r="J118" s="51"/>
    </row>
    <row r="119" spans="2:10" ht="15" customHeight="1" x14ac:dyDescent="0.2">
      <c r="B119" s="51"/>
      <c r="D119" s="51"/>
      <c r="F119" s="51"/>
      <c r="H119" s="51"/>
      <c r="J119" s="51"/>
    </row>
    <row r="120" spans="2:10" ht="15" customHeight="1" x14ac:dyDescent="0.2">
      <c r="B120" s="51"/>
      <c r="D120" s="51"/>
      <c r="F120" s="51"/>
      <c r="H120" s="51"/>
      <c r="J120" s="51"/>
    </row>
    <row r="121" spans="2:10" ht="15" customHeight="1" x14ac:dyDescent="0.2">
      <c r="B121" s="51"/>
      <c r="D121" s="51"/>
      <c r="F121" s="51"/>
      <c r="H121" s="51"/>
      <c r="J121" s="51"/>
    </row>
    <row r="122" spans="2:10" ht="15" customHeight="1" x14ac:dyDescent="0.2">
      <c r="B122" s="51"/>
      <c r="D122" s="51"/>
      <c r="F122" s="51"/>
      <c r="H122" s="51"/>
      <c r="J122" s="51"/>
    </row>
    <row r="123" spans="2:10" ht="15" customHeight="1" x14ac:dyDescent="0.2">
      <c r="B123" s="51"/>
      <c r="D123" s="51"/>
      <c r="F123" s="51"/>
      <c r="H123" s="51"/>
      <c r="J123" s="51"/>
    </row>
    <row r="124" spans="2:10" ht="15" customHeight="1" x14ac:dyDescent="0.2">
      <c r="B124" s="51"/>
      <c r="D124" s="51"/>
      <c r="F124" s="51"/>
      <c r="H124" s="51"/>
      <c r="J124" s="51"/>
    </row>
    <row r="125" spans="2:10" ht="15" customHeight="1" x14ac:dyDescent="0.2">
      <c r="B125" s="51"/>
      <c r="D125" s="51"/>
      <c r="F125" s="51"/>
      <c r="H125" s="51"/>
      <c r="J125" s="51"/>
    </row>
    <row r="126" spans="2:10" ht="15" customHeight="1" x14ac:dyDescent="0.2">
      <c r="B126" s="51"/>
      <c r="D126" s="51"/>
      <c r="F126" s="51"/>
      <c r="H126" s="51"/>
      <c r="J126" s="51"/>
    </row>
    <row r="127" spans="2:10" ht="15" customHeight="1" x14ac:dyDescent="0.2">
      <c r="B127" s="51"/>
      <c r="D127" s="51"/>
      <c r="F127" s="51"/>
      <c r="H127" s="51"/>
      <c r="J127" s="51"/>
    </row>
    <row r="128" spans="2:10" ht="15" customHeight="1" x14ac:dyDescent="0.2">
      <c r="B128" s="51"/>
      <c r="D128" s="51"/>
      <c r="F128" s="51"/>
      <c r="H128" s="51"/>
      <c r="J128" s="51"/>
    </row>
    <row r="129" spans="2:10" ht="15" customHeight="1" x14ac:dyDescent="0.2">
      <c r="B129" s="51"/>
      <c r="D129" s="51"/>
      <c r="F129" s="51"/>
      <c r="H129" s="51"/>
      <c r="J129" s="51"/>
    </row>
    <row r="130" spans="2:10" ht="15" customHeight="1" x14ac:dyDescent="0.2">
      <c r="B130" s="51"/>
      <c r="D130" s="51"/>
      <c r="F130" s="51"/>
      <c r="H130" s="51"/>
      <c r="J130" s="51"/>
    </row>
    <row r="131" spans="2:10" ht="15" customHeight="1" x14ac:dyDescent="0.2">
      <c r="B131" s="51"/>
      <c r="D131" s="51"/>
      <c r="F131" s="51"/>
      <c r="H131" s="51"/>
      <c r="J131" s="51"/>
    </row>
    <row r="132" spans="2:10" ht="15" customHeight="1" x14ac:dyDescent="0.2">
      <c r="B132" s="51"/>
      <c r="D132" s="51"/>
      <c r="F132" s="51"/>
      <c r="H132" s="51"/>
      <c r="J132" s="51"/>
    </row>
    <row r="133" spans="2:10" ht="15" customHeight="1" x14ac:dyDescent="0.2">
      <c r="B133" s="51"/>
      <c r="D133" s="51"/>
      <c r="F133" s="51"/>
      <c r="H133" s="51"/>
      <c r="J133" s="51"/>
    </row>
    <row r="134" spans="2:10" ht="15" customHeight="1" x14ac:dyDescent="0.2">
      <c r="B134" s="51"/>
      <c r="D134" s="51"/>
      <c r="F134" s="51"/>
      <c r="H134" s="51"/>
      <c r="J134" s="51"/>
    </row>
    <row r="135" spans="2:10" ht="15" customHeight="1" x14ac:dyDescent="0.2">
      <c r="B135" s="51"/>
      <c r="D135" s="51"/>
      <c r="F135" s="51"/>
      <c r="H135" s="51"/>
      <c r="J135" s="51"/>
    </row>
    <row r="136" spans="2:10" ht="15" customHeight="1" x14ac:dyDescent="0.2">
      <c r="B136" s="51"/>
      <c r="D136" s="51"/>
      <c r="F136" s="51"/>
      <c r="H136" s="51"/>
      <c r="J136" s="51"/>
    </row>
    <row r="137" spans="2:10" ht="15" customHeight="1" x14ac:dyDescent="0.2">
      <c r="B137" s="51"/>
      <c r="D137" s="51"/>
      <c r="F137" s="51"/>
      <c r="H137" s="51"/>
      <c r="J137" s="51"/>
    </row>
    <row r="138" spans="2:10" ht="15" customHeight="1" x14ac:dyDescent="0.2">
      <c r="B138" s="51"/>
      <c r="D138" s="51"/>
      <c r="F138" s="51"/>
      <c r="H138" s="51"/>
      <c r="J138" s="51"/>
    </row>
    <row r="139" spans="2:10" ht="15" customHeight="1" x14ac:dyDescent="0.2">
      <c r="B139" s="51"/>
      <c r="D139" s="51"/>
      <c r="F139" s="51"/>
      <c r="H139" s="51"/>
      <c r="J139" s="51"/>
    </row>
    <row r="140" spans="2:10" ht="15" customHeight="1" x14ac:dyDescent="0.2">
      <c r="B140" s="51"/>
      <c r="D140" s="51"/>
      <c r="F140" s="51"/>
      <c r="H140" s="51"/>
      <c r="J140" s="51"/>
    </row>
    <row r="141" spans="2:10" ht="15" customHeight="1" x14ac:dyDescent="0.2">
      <c r="B141" s="51"/>
      <c r="D141" s="51"/>
      <c r="F141" s="51"/>
      <c r="H141" s="51"/>
      <c r="J141" s="51"/>
    </row>
    <row r="142" spans="2:10" ht="15" customHeight="1" x14ac:dyDescent="0.2">
      <c r="B142" s="51"/>
      <c r="D142" s="51"/>
      <c r="F142" s="51"/>
      <c r="H142" s="51"/>
      <c r="J142" s="51"/>
    </row>
    <row r="143" spans="2:10" ht="15" customHeight="1" x14ac:dyDescent="0.2">
      <c r="B143" s="51"/>
      <c r="D143" s="51"/>
      <c r="F143" s="51"/>
      <c r="H143" s="51"/>
      <c r="J143" s="51"/>
    </row>
    <row r="144" spans="2:10" ht="15" customHeight="1" x14ac:dyDescent="0.2">
      <c r="B144" s="51"/>
      <c r="D144" s="51"/>
      <c r="F144" s="51"/>
      <c r="H144" s="51"/>
      <c r="J144" s="51"/>
    </row>
    <row r="145" spans="2:10" ht="15" customHeight="1" x14ac:dyDescent="0.2">
      <c r="B145" s="51"/>
      <c r="D145" s="51"/>
      <c r="F145" s="51"/>
      <c r="H145" s="51"/>
      <c r="J145" s="51"/>
    </row>
    <row r="146" spans="2:10" ht="15" customHeight="1" x14ac:dyDescent="0.2">
      <c r="B146" s="51"/>
      <c r="D146" s="51"/>
      <c r="F146" s="51"/>
      <c r="H146" s="51"/>
      <c r="J146" s="51"/>
    </row>
    <row r="147" spans="2:10" ht="15" customHeight="1" x14ac:dyDescent="0.2">
      <c r="B147" s="51"/>
      <c r="D147" s="51"/>
      <c r="F147" s="51"/>
      <c r="H147" s="51"/>
      <c r="J147" s="51"/>
    </row>
    <row r="148" spans="2:10" ht="15" customHeight="1" x14ac:dyDescent="0.2">
      <c r="B148" s="51"/>
      <c r="D148" s="51"/>
      <c r="F148" s="51"/>
      <c r="H148" s="51"/>
      <c r="J148" s="51"/>
    </row>
    <row r="149" spans="2:10" ht="15" customHeight="1" x14ac:dyDescent="0.2">
      <c r="B149" s="51"/>
      <c r="D149" s="51"/>
      <c r="F149" s="51"/>
      <c r="H149" s="51"/>
      <c r="J149" s="51"/>
    </row>
    <row r="150" spans="2:10" ht="15" customHeight="1" x14ac:dyDescent="0.2">
      <c r="B150" s="51"/>
      <c r="D150" s="51"/>
      <c r="F150" s="51"/>
      <c r="H150" s="51"/>
      <c r="J150" s="51"/>
    </row>
    <row r="151" spans="2:10" ht="15" customHeight="1" x14ac:dyDescent="0.2">
      <c r="B151" s="51"/>
      <c r="D151" s="51"/>
      <c r="F151" s="51"/>
      <c r="H151" s="51"/>
      <c r="J151" s="51"/>
    </row>
    <row r="152" spans="2:10" ht="15" customHeight="1" x14ac:dyDescent="0.2">
      <c r="B152" s="51"/>
      <c r="D152" s="51"/>
      <c r="F152" s="51"/>
      <c r="H152" s="51"/>
      <c r="J152" s="51"/>
    </row>
    <row r="153" spans="2:10" ht="15" customHeight="1" x14ac:dyDescent="0.2">
      <c r="B153" s="51"/>
      <c r="D153" s="51"/>
      <c r="F153" s="51"/>
      <c r="H153" s="51"/>
      <c r="J153" s="51"/>
    </row>
    <row r="154" spans="2:10" ht="15" customHeight="1" x14ac:dyDescent="0.2">
      <c r="B154" s="51"/>
      <c r="D154" s="51"/>
      <c r="F154" s="51"/>
      <c r="H154" s="51"/>
      <c r="J154" s="51"/>
    </row>
    <row r="155" spans="2:10" ht="15" customHeight="1" x14ac:dyDescent="0.2">
      <c r="B155" s="51"/>
      <c r="D155" s="51"/>
      <c r="F155" s="51"/>
      <c r="H155" s="51"/>
      <c r="J155" s="51"/>
    </row>
    <row r="156" spans="2:10" ht="15" customHeight="1" x14ac:dyDescent="0.2">
      <c r="B156" s="51"/>
      <c r="D156" s="51"/>
      <c r="F156" s="51"/>
      <c r="H156" s="51"/>
      <c r="J156" s="51"/>
    </row>
    <row r="157" spans="2:10" ht="15" customHeight="1" x14ac:dyDescent="0.2">
      <c r="B157" s="51"/>
      <c r="D157" s="51"/>
      <c r="F157" s="51"/>
      <c r="H157" s="51"/>
      <c r="J157" s="51"/>
    </row>
    <row r="158" spans="2:10" ht="15" customHeight="1" x14ac:dyDescent="0.2">
      <c r="B158" s="51"/>
      <c r="D158" s="51"/>
      <c r="F158" s="51"/>
      <c r="H158" s="51"/>
      <c r="J158" s="51"/>
    </row>
    <row r="159" spans="2:10" ht="15" customHeight="1" x14ac:dyDescent="0.2">
      <c r="B159" s="51"/>
      <c r="D159" s="51"/>
      <c r="F159" s="51"/>
      <c r="H159" s="51"/>
      <c r="J159" s="51"/>
    </row>
    <row r="160" spans="2:10" ht="15" customHeight="1" x14ac:dyDescent="0.2">
      <c r="B160" s="51"/>
      <c r="D160" s="51"/>
      <c r="F160" s="51"/>
      <c r="H160" s="51"/>
      <c r="J160" s="51"/>
    </row>
    <row r="161" spans="2:10" ht="15" customHeight="1" x14ac:dyDescent="0.2">
      <c r="B161" s="51"/>
      <c r="D161" s="51"/>
      <c r="F161" s="51"/>
      <c r="H161" s="51"/>
      <c r="J161" s="51"/>
    </row>
    <row r="162" spans="2:10" ht="15" customHeight="1" x14ac:dyDescent="0.2">
      <c r="B162" s="51"/>
      <c r="D162" s="51"/>
      <c r="F162" s="51"/>
      <c r="H162" s="51"/>
      <c r="J162" s="51"/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B9"/>
  <sheetViews>
    <sheetView workbookViewId="0">
      <selection activeCell="H53" sqref="H53"/>
    </sheetView>
  </sheetViews>
  <sheetFormatPr defaultRowHeight="15" x14ac:dyDescent="0.25"/>
  <sheetData>
    <row r="2" spans="2:2" x14ac:dyDescent="0.25">
      <c r="B2" s="71" t="s">
        <v>583</v>
      </c>
    </row>
    <row r="3" spans="2:2" x14ac:dyDescent="0.25">
      <c r="B3" s="71" t="s">
        <v>584</v>
      </c>
    </row>
    <row r="4" spans="2:2" x14ac:dyDescent="0.25">
      <c r="B4" s="71" t="s">
        <v>585</v>
      </c>
    </row>
    <row r="5" spans="2:2" x14ac:dyDescent="0.25">
      <c r="B5" s="71" t="s">
        <v>586</v>
      </c>
    </row>
    <row r="6" spans="2:2" x14ac:dyDescent="0.25">
      <c r="B6" s="71" t="s">
        <v>587</v>
      </c>
    </row>
    <row r="7" spans="2:2" x14ac:dyDescent="0.25">
      <c r="B7" s="71" t="s">
        <v>588</v>
      </c>
    </row>
    <row r="8" spans="2:2" x14ac:dyDescent="0.25">
      <c r="B8" s="71" t="s">
        <v>589</v>
      </c>
    </row>
    <row r="9" spans="2:2" x14ac:dyDescent="0.25">
      <c r="B9" s="71" t="s">
        <v>590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N474"/>
  <sheetViews>
    <sheetView zoomScale="145" zoomScaleNormal="145" workbookViewId="0">
      <selection activeCell="M427" sqref="M427"/>
    </sheetView>
  </sheetViews>
  <sheetFormatPr defaultRowHeight="15" x14ac:dyDescent="0.25"/>
  <cols>
    <col min="1" max="1" width="13.85546875" customWidth="1"/>
    <col min="2" max="2" width="4.7109375" customWidth="1"/>
    <col min="4" max="4" width="22.7109375" bestFit="1" customWidth="1"/>
    <col min="5" max="5" width="42.42578125" bestFit="1" customWidth="1"/>
    <col min="6" max="6" width="14.28515625" bestFit="1" customWidth="1"/>
    <col min="7" max="7" width="14.5703125" bestFit="1" customWidth="1"/>
    <col min="8" max="8" width="13.85546875" bestFit="1" customWidth="1"/>
    <col min="9" max="9" width="14.7109375" bestFit="1" customWidth="1"/>
    <col min="10" max="10" width="17" bestFit="1" customWidth="1"/>
    <col min="11" max="11" width="17.7109375" bestFit="1" customWidth="1"/>
    <col min="12" max="12" width="13.85546875" bestFit="1" customWidth="1"/>
    <col min="13" max="13" width="14.28515625" bestFit="1" customWidth="1"/>
  </cols>
  <sheetData>
    <row r="1" spans="1:11" x14ac:dyDescent="0.25">
      <c r="A1" t="s">
        <v>591</v>
      </c>
    </row>
    <row r="2" spans="1:11" x14ac:dyDescent="0.25">
      <c r="A2" t="s">
        <v>592</v>
      </c>
    </row>
    <row r="3" spans="1:11" x14ac:dyDescent="0.25">
      <c r="A3" t="s">
        <v>593</v>
      </c>
    </row>
    <row r="5" spans="1:11" x14ac:dyDescent="0.25">
      <c r="C5" t="s">
        <v>594</v>
      </c>
      <c r="D5" t="s">
        <v>595</v>
      </c>
      <c r="E5" t="s">
        <v>596</v>
      </c>
      <c r="G5" t="s">
        <v>597</v>
      </c>
      <c r="I5" t="s">
        <v>598</v>
      </c>
      <c r="K5" t="s">
        <v>599</v>
      </c>
    </row>
    <row r="7" spans="1:11" x14ac:dyDescent="0.25">
      <c r="A7" t="s">
        <v>600</v>
      </c>
      <c r="C7">
        <v>1000</v>
      </c>
      <c r="D7">
        <v>1301113100</v>
      </c>
      <c r="E7" t="s">
        <v>601</v>
      </c>
      <c r="G7">
        <v>0</v>
      </c>
      <c r="I7" s="10">
        <v>12637605.039999999</v>
      </c>
      <c r="K7" s="10">
        <f t="shared" ref="K7:K70" si="0">G7-I7</f>
        <v>-12637605.039999999</v>
      </c>
    </row>
    <row r="8" spans="1:11" x14ac:dyDescent="0.25">
      <c r="A8" t="s">
        <v>399</v>
      </c>
      <c r="C8">
        <v>1000</v>
      </c>
      <c r="D8">
        <v>1301120001</v>
      </c>
      <c r="E8" t="s">
        <v>602</v>
      </c>
      <c r="G8">
        <v>0</v>
      </c>
      <c r="I8">
        <v>0</v>
      </c>
      <c r="K8" s="10">
        <f t="shared" si="0"/>
        <v>0</v>
      </c>
    </row>
    <row r="9" spans="1:11" x14ac:dyDescent="0.25">
      <c r="A9" t="s">
        <v>603</v>
      </c>
      <c r="C9">
        <v>1000</v>
      </c>
      <c r="D9">
        <v>1301080001</v>
      </c>
      <c r="E9" t="s">
        <v>206</v>
      </c>
      <c r="G9">
        <v>0</v>
      </c>
      <c r="I9">
        <v>0</v>
      </c>
      <c r="K9" s="10">
        <f t="shared" si="0"/>
        <v>0</v>
      </c>
    </row>
    <row r="10" spans="1:11" x14ac:dyDescent="0.25">
      <c r="A10" t="s">
        <v>77</v>
      </c>
      <c r="C10">
        <v>1000</v>
      </c>
      <c r="D10">
        <v>1301080004</v>
      </c>
      <c r="E10" t="s">
        <v>78</v>
      </c>
      <c r="G10" s="10">
        <v>1211446</v>
      </c>
      <c r="I10">
        <v>0</v>
      </c>
      <c r="K10" s="10">
        <f t="shared" si="0"/>
        <v>1211446</v>
      </c>
    </row>
    <row r="11" spans="1:11" x14ac:dyDescent="0.25">
      <c r="A11" t="s">
        <v>17</v>
      </c>
      <c r="C11">
        <v>1000</v>
      </c>
      <c r="D11">
        <v>1301150001</v>
      </c>
      <c r="E11" t="s">
        <v>18</v>
      </c>
      <c r="G11" s="10">
        <v>47844.89</v>
      </c>
      <c r="I11">
        <v>0</v>
      </c>
      <c r="K11" s="10">
        <f t="shared" si="0"/>
        <v>47844.89</v>
      </c>
    </row>
    <row r="12" spans="1:11" x14ac:dyDescent="0.25">
      <c r="A12" t="s">
        <v>604</v>
      </c>
      <c r="C12">
        <v>1000</v>
      </c>
      <c r="D12">
        <v>1301150002</v>
      </c>
      <c r="E12" t="s">
        <v>605</v>
      </c>
      <c r="G12">
        <v>0</v>
      </c>
      <c r="I12" s="10">
        <v>72328</v>
      </c>
      <c r="K12" s="10">
        <f t="shared" si="0"/>
        <v>-72328</v>
      </c>
    </row>
    <row r="13" spans="1:11" x14ac:dyDescent="0.25">
      <c r="A13" t="s">
        <v>37</v>
      </c>
      <c r="C13">
        <v>1000</v>
      </c>
      <c r="D13">
        <v>1301120004</v>
      </c>
      <c r="E13" t="s">
        <v>38</v>
      </c>
      <c r="G13">
        <v>0</v>
      </c>
      <c r="I13">
        <v>0</v>
      </c>
      <c r="K13" s="10">
        <f t="shared" si="0"/>
        <v>0</v>
      </c>
    </row>
    <row r="14" spans="1:11" x14ac:dyDescent="0.25">
      <c r="A14" t="s">
        <v>606</v>
      </c>
      <c r="C14">
        <v>1000</v>
      </c>
      <c r="D14">
        <v>1301100001</v>
      </c>
      <c r="E14" t="s">
        <v>607</v>
      </c>
      <c r="G14">
        <v>0</v>
      </c>
      <c r="I14">
        <v>0</v>
      </c>
      <c r="K14" s="10">
        <f t="shared" si="0"/>
        <v>0</v>
      </c>
    </row>
    <row r="15" spans="1:11" x14ac:dyDescent="0.25">
      <c r="A15" t="s">
        <v>59</v>
      </c>
      <c r="C15">
        <v>1000</v>
      </c>
      <c r="D15">
        <v>1301080003</v>
      </c>
      <c r="E15" t="s">
        <v>60</v>
      </c>
      <c r="G15" s="10">
        <v>191777.97</v>
      </c>
      <c r="I15">
        <v>0</v>
      </c>
      <c r="K15" s="10">
        <f t="shared" si="0"/>
        <v>191777.97</v>
      </c>
    </row>
    <row r="16" spans="1:11" x14ac:dyDescent="0.25">
      <c r="A16" t="s">
        <v>608</v>
      </c>
      <c r="C16">
        <v>1000</v>
      </c>
      <c r="D16">
        <v>1301080039</v>
      </c>
      <c r="E16" t="s">
        <v>609</v>
      </c>
      <c r="G16" s="10">
        <v>1434.59</v>
      </c>
      <c r="I16">
        <v>0</v>
      </c>
      <c r="K16" s="10">
        <f t="shared" si="0"/>
        <v>1434.59</v>
      </c>
    </row>
    <row r="17" spans="1:11" x14ac:dyDescent="0.25">
      <c r="A17" t="s">
        <v>311</v>
      </c>
      <c r="C17">
        <v>1000</v>
      </c>
      <c r="D17">
        <v>1301080040</v>
      </c>
      <c r="E17" t="s">
        <v>610</v>
      </c>
      <c r="G17" s="10">
        <v>112811</v>
      </c>
      <c r="I17">
        <v>0</v>
      </c>
      <c r="K17" s="10">
        <f t="shared" si="0"/>
        <v>112811</v>
      </c>
    </row>
    <row r="18" spans="1:11" x14ac:dyDescent="0.25">
      <c r="A18" t="s">
        <v>611</v>
      </c>
      <c r="C18">
        <v>1000</v>
      </c>
      <c r="D18">
        <v>1301180002</v>
      </c>
      <c r="E18" t="s">
        <v>612</v>
      </c>
      <c r="G18" s="10">
        <v>7584</v>
      </c>
      <c r="I18">
        <v>0</v>
      </c>
      <c r="K18" s="10">
        <f t="shared" si="0"/>
        <v>7584</v>
      </c>
    </row>
    <row r="19" spans="1:11" x14ac:dyDescent="0.25">
      <c r="A19" t="s">
        <v>47</v>
      </c>
      <c r="C19">
        <v>1000</v>
      </c>
      <c r="D19">
        <v>1301110004</v>
      </c>
      <c r="E19" t="s">
        <v>48</v>
      </c>
      <c r="G19">
        <v>0</v>
      </c>
      <c r="I19">
        <v>0</v>
      </c>
      <c r="K19" s="10">
        <f t="shared" si="0"/>
        <v>0</v>
      </c>
    </row>
    <row r="20" spans="1:11" x14ac:dyDescent="0.25">
      <c r="A20" t="s">
        <v>21</v>
      </c>
      <c r="C20">
        <v>1000</v>
      </c>
      <c r="D20">
        <v>2905028016</v>
      </c>
      <c r="E20" t="s">
        <v>22</v>
      </c>
      <c r="G20">
        <v>0</v>
      </c>
      <c r="I20" s="10">
        <v>209559.85</v>
      </c>
      <c r="K20" s="10">
        <f t="shared" si="0"/>
        <v>-209559.85</v>
      </c>
    </row>
    <row r="21" spans="1:11" x14ac:dyDescent="0.25">
      <c r="A21" t="s">
        <v>613</v>
      </c>
      <c r="C21">
        <v>1000</v>
      </c>
      <c r="D21">
        <v>2905028018</v>
      </c>
      <c r="E21" t="s">
        <v>196</v>
      </c>
      <c r="G21">
        <v>0</v>
      </c>
      <c r="I21" s="10">
        <v>175371.92</v>
      </c>
      <c r="K21" s="10">
        <f t="shared" si="0"/>
        <v>-175371.92</v>
      </c>
    </row>
    <row r="22" spans="1:11" x14ac:dyDescent="0.25">
      <c r="A22" t="s">
        <v>421</v>
      </c>
      <c r="C22">
        <v>1000</v>
      </c>
      <c r="D22">
        <v>2905028013</v>
      </c>
      <c r="E22" t="s">
        <v>422</v>
      </c>
      <c r="G22">
        <v>0</v>
      </c>
      <c r="I22">
        <v>0</v>
      </c>
      <c r="K22" s="10">
        <f t="shared" si="0"/>
        <v>0</v>
      </c>
    </row>
    <row r="23" spans="1:11" x14ac:dyDescent="0.25">
      <c r="A23" t="s">
        <v>614</v>
      </c>
      <c r="C23">
        <v>1000</v>
      </c>
      <c r="D23">
        <v>2905028021</v>
      </c>
      <c r="E23" t="s">
        <v>615</v>
      </c>
      <c r="G23">
        <v>0</v>
      </c>
      <c r="I23">
        <v>609</v>
      </c>
      <c r="K23" s="10">
        <f t="shared" si="0"/>
        <v>-609</v>
      </c>
    </row>
    <row r="24" spans="1:11" x14ac:dyDescent="0.25">
      <c r="A24" t="s">
        <v>437</v>
      </c>
      <c r="C24">
        <v>1000</v>
      </c>
      <c r="D24">
        <v>2905028020</v>
      </c>
      <c r="E24" t="s">
        <v>616</v>
      </c>
      <c r="G24">
        <v>0</v>
      </c>
      <c r="I24">
        <v>0</v>
      </c>
      <c r="K24" s="10">
        <f t="shared" si="0"/>
        <v>0</v>
      </c>
    </row>
    <row r="25" spans="1:11" x14ac:dyDescent="0.25">
      <c r="A25" t="s">
        <v>266</v>
      </c>
      <c r="C25">
        <v>1000</v>
      </c>
      <c r="D25">
        <v>2905028028</v>
      </c>
      <c r="E25" t="s">
        <v>617</v>
      </c>
      <c r="G25">
        <v>0</v>
      </c>
      <c r="I25">
        <v>0</v>
      </c>
      <c r="K25" s="10">
        <f t="shared" si="0"/>
        <v>0</v>
      </c>
    </row>
    <row r="26" spans="1:11" x14ac:dyDescent="0.25">
      <c r="A26" t="s">
        <v>618</v>
      </c>
      <c r="C26">
        <v>1000</v>
      </c>
      <c r="D26">
        <v>2905028024</v>
      </c>
      <c r="E26" t="s">
        <v>619</v>
      </c>
      <c r="G26">
        <v>0</v>
      </c>
      <c r="I26" s="10">
        <v>8927.7099999999991</v>
      </c>
      <c r="K26" s="10">
        <f t="shared" si="0"/>
        <v>-8927.7099999999991</v>
      </c>
    </row>
    <row r="27" spans="1:11" x14ac:dyDescent="0.25">
      <c r="A27" t="s">
        <v>233</v>
      </c>
      <c r="C27">
        <v>1000</v>
      </c>
      <c r="D27">
        <v>2905028025</v>
      </c>
      <c r="E27" t="s">
        <v>234</v>
      </c>
      <c r="G27">
        <v>0</v>
      </c>
      <c r="I27">
        <v>0</v>
      </c>
      <c r="K27" s="10">
        <f t="shared" si="0"/>
        <v>0</v>
      </c>
    </row>
    <row r="28" spans="1:11" x14ac:dyDescent="0.25">
      <c r="A28" t="s">
        <v>620</v>
      </c>
      <c r="C28">
        <v>1000</v>
      </c>
      <c r="D28">
        <v>2905028029</v>
      </c>
      <c r="E28" t="s">
        <v>621</v>
      </c>
      <c r="G28">
        <v>0</v>
      </c>
      <c r="I28">
        <v>0</v>
      </c>
      <c r="K28" s="10">
        <f t="shared" si="0"/>
        <v>0</v>
      </c>
    </row>
    <row r="29" spans="1:11" x14ac:dyDescent="0.25">
      <c r="A29" t="s">
        <v>81</v>
      </c>
      <c r="C29">
        <v>1000</v>
      </c>
      <c r="D29">
        <v>2905028015</v>
      </c>
      <c r="E29" t="s">
        <v>82</v>
      </c>
      <c r="G29">
        <v>0</v>
      </c>
      <c r="I29">
        <v>0</v>
      </c>
      <c r="K29" s="10">
        <f t="shared" si="0"/>
        <v>0</v>
      </c>
    </row>
    <row r="30" spans="1:11" x14ac:dyDescent="0.25">
      <c r="A30" t="s">
        <v>61</v>
      </c>
      <c r="C30">
        <v>1000</v>
      </c>
      <c r="D30">
        <v>2905028014</v>
      </c>
      <c r="E30" t="s">
        <v>62</v>
      </c>
      <c r="G30">
        <v>0</v>
      </c>
      <c r="I30" s="10">
        <v>3187137.57</v>
      </c>
      <c r="K30" s="10">
        <f t="shared" si="0"/>
        <v>-3187137.57</v>
      </c>
    </row>
    <row r="31" spans="1:11" x14ac:dyDescent="0.25">
      <c r="A31" t="s">
        <v>27</v>
      </c>
      <c r="C31">
        <v>1000</v>
      </c>
      <c r="D31">
        <v>1301080022</v>
      </c>
      <c r="E31" t="s">
        <v>28</v>
      </c>
      <c r="G31" s="10">
        <v>538696.59</v>
      </c>
      <c r="I31">
        <v>0</v>
      </c>
      <c r="K31" s="10">
        <f t="shared" si="0"/>
        <v>538696.59</v>
      </c>
    </row>
    <row r="32" spans="1:11" x14ac:dyDescent="0.25">
      <c r="A32" t="s">
        <v>622</v>
      </c>
      <c r="C32">
        <v>1000</v>
      </c>
      <c r="D32">
        <v>1301080018</v>
      </c>
      <c r="E32" t="s">
        <v>191</v>
      </c>
      <c r="G32" s="10">
        <v>50719.5</v>
      </c>
      <c r="I32">
        <v>0</v>
      </c>
      <c r="K32" s="10">
        <f t="shared" si="0"/>
        <v>50719.5</v>
      </c>
    </row>
    <row r="33" spans="1:11" x14ac:dyDescent="0.25">
      <c r="A33" t="s">
        <v>67</v>
      </c>
      <c r="C33">
        <v>1000</v>
      </c>
      <c r="D33">
        <v>1301080020</v>
      </c>
      <c r="E33" t="s">
        <v>259</v>
      </c>
      <c r="G33" s="10">
        <v>6577032.3300000001</v>
      </c>
      <c r="I33">
        <v>0</v>
      </c>
      <c r="K33" s="10">
        <f t="shared" si="0"/>
        <v>6577032.3300000001</v>
      </c>
    </row>
    <row r="34" spans="1:11" x14ac:dyDescent="0.25">
      <c r="A34" t="s">
        <v>248</v>
      </c>
      <c r="C34">
        <v>1000</v>
      </c>
      <c r="D34">
        <v>1301080026</v>
      </c>
      <c r="E34" t="s">
        <v>249</v>
      </c>
      <c r="G34">
        <v>0</v>
      </c>
      <c r="I34">
        <v>0</v>
      </c>
      <c r="K34" s="10">
        <f t="shared" si="0"/>
        <v>0</v>
      </c>
    </row>
    <row r="35" spans="1:11" x14ac:dyDescent="0.25">
      <c r="A35" t="s">
        <v>431</v>
      </c>
      <c r="C35">
        <v>1000</v>
      </c>
      <c r="D35">
        <v>1301080025</v>
      </c>
      <c r="E35" t="s">
        <v>432</v>
      </c>
      <c r="G35">
        <v>0</v>
      </c>
      <c r="I35">
        <v>0</v>
      </c>
      <c r="K35" s="10">
        <f t="shared" si="0"/>
        <v>0</v>
      </c>
    </row>
    <row r="36" spans="1:11" x14ac:dyDescent="0.25">
      <c r="A36" t="s">
        <v>271</v>
      </c>
      <c r="C36">
        <v>1000</v>
      </c>
      <c r="D36">
        <v>1301080033</v>
      </c>
      <c r="E36" t="s">
        <v>623</v>
      </c>
      <c r="G36" s="10">
        <v>41244</v>
      </c>
      <c r="I36">
        <v>0</v>
      </c>
      <c r="K36" s="10">
        <f t="shared" si="0"/>
        <v>41244</v>
      </c>
    </row>
    <row r="37" spans="1:11" x14ac:dyDescent="0.25">
      <c r="A37" t="s">
        <v>301</v>
      </c>
      <c r="C37">
        <v>1000</v>
      </c>
      <c r="D37">
        <v>1301080037</v>
      </c>
      <c r="E37" t="s">
        <v>624</v>
      </c>
      <c r="G37">
        <v>0</v>
      </c>
      <c r="I37">
        <v>0</v>
      </c>
      <c r="K37" s="10">
        <f t="shared" si="0"/>
        <v>0</v>
      </c>
    </row>
    <row r="38" spans="1:11" x14ac:dyDescent="0.25">
      <c r="A38" t="s">
        <v>253</v>
      </c>
      <c r="C38">
        <v>1000</v>
      </c>
      <c r="D38">
        <v>1301080029</v>
      </c>
      <c r="E38" t="s">
        <v>254</v>
      </c>
      <c r="G38" s="10">
        <v>9701.39</v>
      </c>
      <c r="I38">
        <v>0</v>
      </c>
      <c r="K38" s="10">
        <f t="shared" si="0"/>
        <v>9701.39</v>
      </c>
    </row>
    <row r="39" spans="1:11" x14ac:dyDescent="0.25">
      <c r="A39" t="s">
        <v>239</v>
      </c>
      <c r="C39">
        <v>1000</v>
      </c>
      <c r="D39">
        <v>1301080030</v>
      </c>
      <c r="E39" t="s">
        <v>240</v>
      </c>
      <c r="G39">
        <v>0</v>
      </c>
      <c r="I39">
        <v>0</v>
      </c>
      <c r="K39" s="10">
        <f t="shared" si="0"/>
        <v>0</v>
      </c>
    </row>
    <row r="40" spans="1:11" x14ac:dyDescent="0.25">
      <c r="A40" t="s">
        <v>625</v>
      </c>
      <c r="C40">
        <v>1000</v>
      </c>
      <c r="D40">
        <v>1301080034</v>
      </c>
      <c r="E40" t="s">
        <v>626</v>
      </c>
      <c r="G40">
        <v>0</v>
      </c>
      <c r="I40">
        <v>0</v>
      </c>
      <c r="K40" s="10">
        <f t="shared" si="0"/>
        <v>0</v>
      </c>
    </row>
    <row r="41" spans="1:11" x14ac:dyDescent="0.25">
      <c r="A41" t="s">
        <v>87</v>
      </c>
      <c r="C41">
        <v>1000</v>
      </c>
      <c r="D41">
        <v>1301080021</v>
      </c>
      <c r="E41" t="s">
        <v>88</v>
      </c>
      <c r="G41" s="10">
        <v>145362</v>
      </c>
      <c r="I41">
        <v>0</v>
      </c>
      <c r="K41" s="10">
        <f t="shared" si="0"/>
        <v>145362</v>
      </c>
    </row>
    <row r="42" spans="1:11" x14ac:dyDescent="0.25">
      <c r="A42" t="s">
        <v>627</v>
      </c>
      <c r="C42">
        <v>1000</v>
      </c>
      <c r="D42">
        <v>1301080023</v>
      </c>
      <c r="E42" t="s">
        <v>628</v>
      </c>
      <c r="G42" s="10">
        <v>168100</v>
      </c>
      <c r="I42">
        <v>0</v>
      </c>
      <c r="K42" s="10">
        <f t="shared" si="0"/>
        <v>168100</v>
      </c>
    </row>
    <row r="43" spans="1:11" x14ac:dyDescent="0.25">
      <c r="A43" t="s">
        <v>629</v>
      </c>
      <c r="C43">
        <v>1000</v>
      </c>
      <c r="D43">
        <v>1301080017</v>
      </c>
      <c r="E43" t="s">
        <v>630</v>
      </c>
      <c r="G43">
        <v>0</v>
      </c>
      <c r="I43">
        <v>0</v>
      </c>
      <c r="K43" s="10">
        <f t="shared" si="0"/>
        <v>0</v>
      </c>
    </row>
    <row r="44" spans="1:11" x14ac:dyDescent="0.25">
      <c r="A44" t="s">
        <v>631</v>
      </c>
      <c r="C44">
        <v>1000</v>
      </c>
      <c r="D44">
        <v>2905028008</v>
      </c>
      <c r="E44" t="s">
        <v>632</v>
      </c>
      <c r="G44">
        <v>0</v>
      </c>
      <c r="I44" s="10">
        <v>8075.02</v>
      </c>
      <c r="K44" s="10">
        <f t="shared" si="0"/>
        <v>-8075.02</v>
      </c>
    </row>
    <row r="45" spans="1:11" x14ac:dyDescent="0.25">
      <c r="A45" t="s">
        <v>633</v>
      </c>
      <c r="C45">
        <v>1000</v>
      </c>
      <c r="D45">
        <v>2905033100</v>
      </c>
      <c r="E45" t="s">
        <v>634</v>
      </c>
      <c r="G45" s="10">
        <v>8698.25</v>
      </c>
      <c r="I45">
        <v>0</v>
      </c>
      <c r="K45" s="10">
        <f t="shared" si="0"/>
        <v>8698.25</v>
      </c>
    </row>
    <row r="46" spans="1:11" x14ac:dyDescent="0.25">
      <c r="A46" t="s">
        <v>635</v>
      </c>
      <c r="C46">
        <v>1000</v>
      </c>
      <c r="D46">
        <v>2905021011</v>
      </c>
      <c r="E46" t="s">
        <v>636</v>
      </c>
      <c r="G46">
        <v>0</v>
      </c>
      <c r="I46">
        <v>0</v>
      </c>
      <c r="K46" s="10">
        <f t="shared" si="0"/>
        <v>0</v>
      </c>
    </row>
    <row r="47" spans="1:11" x14ac:dyDescent="0.25">
      <c r="A47" t="s">
        <v>637</v>
      </c>
      <c r="C47">
        <v>1000</v>
      </c>
      <c r="D47">
        <v>2905028034</v>
      </c>
      <c r="E47" t="s">
        <v>638</v>
      </c>
      <c r="G47" s="10">
        <v>45016962.5</v>
      </c>
      <c r="I47">
        <v>0</v>
      </c>
      <c r="K47" s="10">
        <f t="shared" si="0"/>
        <v>45016962.5</v>
      </c>
    </row>
    <row r="48" spans="1:11" x14ac:dyDescent="0.25">
      <c r="A48" t="s">
        <v>9</v>
      </c>
      <c r="C48">
        <v>1000</v>
      </c>
      <c r="D48">
        <v>2905024001</v>
      </c>
      <c r="E48" t="s">
        <v>10</v>
      </c>
      <c r="G48">
        <v>0</v>
      </c>
      <c r="I48" s="10">
        <v>24053.81</v>
      </c>
      <c r="K48" s="10">
        <f t="shared" si="0"/>
        <v>-24053.81</v>
      </c>
    </row>
    <row r="49" spans="1:11" x14ac:dyDescent="0.25">
      <c r="A49" t="s">
        <v>639</v>
      </c>
      <c r="C49">
        <v>1000</v>
      </c>
      <c r="D49">
        <v>2905031001</v>
      </c>
      <c r="E49" t="s">
        <v>640</v>
      </c>
      <c r="G49">
        <v>0</v>
      </c>
      <c r="I49">
        <v>0</v>
      </c>
      <c r="K49" s="10">
        <f t="shared" si="0"/>
        <v>0</v>
      </c>
    </row>
    <row r="50" spans="1:11" x14ac:dyDescent="0.25">
      <c r="A50" t="s">
        <v>51</v>
      </c>
      <c r="C50">
        <v>1000</v>
      </c>
      <c r="D50">
        <v>2905022005</v>
      </c>
      <c r="E50" t="s">
        <v>52</v>
      </c>
      <c r="G50">
        <v>0</v>
      </c>
      <c r="I50" s="10">
        <v>122815.64</v>
      </c>
      <c r="K50" s="10">
        <f t="shared" si="0"/>
        <v>-122815.64</v>
      </c>
    </row>
    <row r="51" spans="1:11" x14ac:dyDescent="0.25">
      <c r="A51" t="s">
        <v>641</v>
      </c>
      <c r="C51">
        <v>1000</v>
      </c>
      <c r="D51">
        <v>2905028010</v>
      </c>
      <c r="E51" t="s">
        <v>642</v>
      </c>
      <c r="G51">
        <v>0</v>
      </c>
      <c r="I51">
        <v>0</v>
      </c>
      <c r="K51" s="10">
        <f t="shared" si="0"/>
        <v>0</v>
      </c>
    </row>
    <row r="52" spans="1:11" x14ac:dyDescent="0.25">
      <c r="A52" t="s">
        <v>31</v>
      </c>
      <c r="C52">
        <v>1000</v>
      </c>
      <c r="D52">
        <v>2905028003</v>
      </c>
      <c r="E52" t="s">
        <v>116</v>
      </c>
      <c r="G52">
        <v>0</v>
      </c>
      <c r="I52">
        <v>0</v>
      </c>
      <c r="K52" s="10">
        <f t="shared" si="0"/>
        <v>0</v>
      </c>
    </row>
    <row r="53" spans="1:11" x14ac:dyDescent="0.25">
      <c r="A53" t="s">
        <v>317</v>
      </c>
      <c r="C53">
        <v>1000</v>
      </c>
      <c r="D53">
        <v>2905028035</v>
      </c>
      <c r="E53" t="s">
        <v>643</v>
      </c>
      <c r="G53">
        <v>0</v>
      </c>
      <c r="I53">
        <v>0</v>
      </c>
      <c r="K53" s="10">
        <f t="shared" si="0"/>
        <v>0</v>
      </c>
    </row>
    <row r="54" spans="1:11" x14ac:dyDescent="0.25">
      <c r="A54" t="s">
        <v>644</v>
      </c>
      <c r="C54">
        <v>1000</v>
      </c>
      <c r="D54">
        <v>2905036002</v>
      </c>
      <c r="E54" t="s">
        <v>645</v>
      </c>
      <c r="G54">
        <v>0</v>
      </c>
      <c r="I54">
        <v>0</v>
      </c>
      <c r="K54" s="10">
        <f t="shared" si="0"/>
        <v>0</v>
      </c>
    </row>
    <row r="55" spans="1:11" x14ac:dyDescent="0.25">
      <c r="A55" t="s">
        <v>71</v>
      </c>
      <c r="C55">
        <v>1000</v>
      </c>
      <c r="D55">
        <v>2905028001</v>
      </c>
      <c r="E55" t="s">
        <v>72</v>
      </c>
      <c r="G55">
        <v>0</v>
      </c>
      <c r="I55" s="10">
        <v>1463.94</v>
      </c>
      <c r="K55" s="10">
        <f t="shared" si="0"/>
        <v>-1463.94</v>
      </c>
    </row>
    <row r="56" spans="1:11" x14ac:dyDescent="0.25">
      <c r="A56" t="s">
        <v>646</v>
      </c>
      <c r="C56">
        <v>1000</v>
      </c>
      <c r="D56">
        <v>1301080027</v>
      </c>
      <c r="E56" t="s">
        <v>647</v>
      </c>
      <c r="G56" s="10">
        <v>17786</v>
      </c>
      <c r="I56">
        <v>0</v>
      </c>
      <c r="K56" s="10">
        <f t="shared" si="0"/>
        <v>17786</v>
      </c>
    </row>
    <row r="57" spans="1:11" x14ac:dyDescent="0.25">
      <c r="A57" t="s">
        <v>297</v>
      </c>
      <c r="C57">
        <v>1000</v>
      </c>
      <c r="D57">
        <v>2905028036</v>
      </c>
      <c r="E57" t="s">
        <v>298</v>
      </c>
      <c r="G57">
        <v>0</v>
      </c>
      <c r="I57" s="10">
        <v>31578.31</v>
      </c>
      <c r="K57" s="10">
        <f t="shared" si="0"/>
        <v>-31578.31</v>
      </c>
    </row>
    <row r="58" spans="1:11" x14ac:dyDescent="0.25">
      <c r="A58" t="s">
        <v>291</v>
      </c>
      <c r="C58">
        <v>1000</v>
      </c>
      <c r="D58">
        <v>1301080041</v>
      </c>
      <c r="E58" t="s">
        <v>292</v>
      </c>
      <c r="G58" s="10">
        <v>19822.84</v>
      </c>
      <c r="I58">
        <v>0</v>
      </c>
      <c r="K58" s="10">
        <f t="shared" si="0"/>
        <v>19822.84</v>
      </c>
    </row>
    <row r="59" spans="1:11" x14ac:dyDescent="0.25">
      <c r="A59" t="s">
        <v>648</v>
      </c>
      <c r="C59">
        <v>1012</v>
      </c>
      <c r="D59">
        <v>1301110001</v>
      </c>
      <c r="E59" t="s">
        <v>12</v>
      </c>
      <c r="G59">
        <v>0</v>
      </c>
      <c r="I59" s="10">
        <v>45016962.5</v>
      </c>
      <c r="K59" s="10">
        <f t="shared" si="0"/>
        <v>-45016962.5</v>
      </c>
    </row>
    <row r="60" spans="1:11" x14ac:dyDescent="0.25">
      <c r="A60" t="s">
        <v>649</v>
      </c>
      <c r="C60">
        <v>1012</v>
      </c>
      <c r="D60">
        <v>2905028016</v>
      </c>
      <c r="E60" t="s">
        <v>22</v>
      </c>
      <c r="G60" s="10">
        <v>43875466.909999996</v>
      </c>
      <c r="I60">
        <v>0</v>
      </c>
      <c r="K60" s="10">
        <f t="shared" si="0"/>
        <v>43875466.909999996</v>
      </c>
    </row>
    <row r="61" spans="1:11" x14ac:dyDescent="0.25">
      <c r="A61" t="s">
        <v>650</v>
      </c>
      <c r="C61">
        <v>1012</v>
      </c>
      <c r="D61">
        <v>2905010001</v>
      </c>
      <c r="E61" t="s">
        <v>16</v>
      </c>
      <c r="G61">
        <v>0</v>
      </c>
      <c r="I61" s="10">
        <v>1434.59</v>
      </c>
      <c r="K61" s="10">
        <f t="shared" si="0"/>
        <v>-1434.59</v>
      </c>
    </row>
    <row r="62" spans="1:11" x14ac:dyDescent="0.25">
      <c r="A62" t="s">
        <v>651</v>
      </c>
      <c r="C62">
        <v>1100</v>
      </c>
      <c r="D62">
        <v>1301113100</v>
      </c>
      <c r="E62" t="s">
        <v>601</v>
      </c>
      <c r="G62" s="10">
        <v>564883.52</v>
      </c>
      <c r="I62">
        <v>0</v>
      </c>
      <c r="K62" s="10">
        <f t="shared" si="0"/>
        <v>564883.52</v>
      </c>
    </row>
    <row r="63" spans="1:11" x14ac:dyDescent="0.25">
      <c r="A63" t="s">
        <v>652</v>
      </c>
      <c r="C63">
        <v>1100</v>
      </c>
      <c r="D63">
        <v>1301150002</v>
      </c>
      <c r="E63" t="s">
        <v>605</v>
      </c>
      <c r="G63">
        <v>0</v>
      </c>
      <c r="I63" s="10">
        <v>469529.02</v>
      </c>
      <c r="K63" s="10">
        <f t="shared" si="0"/>
        <v>-469529.02</v>
      </c>
    </row>
    <row r="64" spans="1:11" x14ac:dyDescent="0.25">
      <c r="A64" t="s">
        <v>653</v>
      </c>
      <c r="C64">
        <v>1100</v>
      </c>
      <c r="D64">
        <v>1301100001</v>
      </c>
      <c r="E64" t="s">
        <v>607</v>
      </c>
      <c r="G64" s="10">
        <v>254684.43</v>
      </c>
      <c r="I64">
        <v>0</v>
      </c>
      <c r="K64" s="10">
        <f t="shared" si="0"/>
        <v>254684.43</v>
      </c>
    </row>
    <row r="65" spans="1:11" x14ac:dyDescent="0.25">
      <c r="A65" t="s">
        <v>654</v>
      </c>
      <c r="C65">
        <v>1100</v>
      </c>
      <c r="D65">
        <v>1301150005</v>
      </c>
      <c r="E65" t="s">
        <v>655</v>
      </c>
      <c r="G65" s="10">
        <v>1938360</v>
      </c>
      <c r="I65">
        <v>0</v>
      </c>
      <c r="K65" s="10">
        <f t="shared" si="0"/>
        <v>1938360</v>
      </c>
    </row>
    <row r="66" spans="1:11" x14ac:dyDescent="0.25">
      <c r="A66" t="s">
        <v>656</v>
      </c>
      <c r="C66">
        <v>1100</v>
      </c>
      <c r="D66">
        <v>1301120003</v>
      </c>
      <c r="E66" t="s">
        <v>657</v>
      </c>
      <c r="G66">
        <v>0</v>
      </c>
      <c r="I66">
        <v>0</v>
      </c>
      <c r="K66" s="10">
        <f t="shared" si="0"/>
        <v>0</v>
      </c>
    </row>
    <row r="67" spans="1:11" x14ac:dyDescent="0.25">
      <c r="A67" t="s">
        <v>11</v>
      </c>
      <c r="C67">
        <v>1100</v>
      </c>
      <c r="D67">
        <v>1301110001</v>
      </c>
      <c r="E67" t="s">
        <v>12</v>
      </c>
      <c r="G67" s="10">
        <v>24053.81</v>
      </c>
      <c r="I67">
        <v>0</v>
      </c>
      <c r="K67" s="10">
        <f t="shared" si="0"/>
        <v>24053.81</v>
      </c>
    </row>
    <row r="68" spans="1:11" x14ac:dyDescent="0.25">
      <c r="A68" t="s">
        <v>658</v>
      </c>
      <c r="C68">
        <v>1100</v>
      </c>
      <c r="D68">
        <v>2905028016</v>
      </c>
      <c r="E68" t="s">
        <v>22</v>
      </c>
      <c r="G68">
        <v>0</v>
      </c>
      <c r="I68" s="10">
        <v>27278.31</v>
      </c>
      <c r="K68" s="10">
        <f t="shared" si="0"/>
        <v>-27278.31</v>
      </c>
    </row>
    <row r="69" spans="1:11" x14ac:dyDescent="0.25">
      <c r="A69" t="s">
        <v>91</v>
      </c>
      <c r="C69">
        <v>1100</v>
      </c>
      <c r="D69">
        <v>2905028014</v>
      </c>
      <c r="E69" t="s">
        <v>62</v>
      </c>
      <c r="G69">
        <v>0</v>
      </c>
      <c r="I69" s="10">
        <v>69659.5</v>
      </c>
      <c r="K69" s="10">
        <f t="shared" si="0"/>
        <v>-69659.5</v>
      </c>
    </row>
    <row r="70" spans="1:11" x14ac:dyDescent="0.25">
      <c r="A70" t="s">
        <v>659</v>
      </c>
      <c r="C70">
        <v>1100</v>
      </c>
      <c r="D70">
        <v>1301080022</v>
      </c>
      <c r="E70" t="s">
        <v>28</v>
      </c>
      <c r="G70" s="10">
        <v>8219.73</v>
      </c>
      <c r="I70">
        <v>0</v>
      </c>
      <c r="K70" s="10">
        <f t="shared" si="0"/>
        <v>8219.73</v>
      </c>
    </row>
    <row r="71" spans="1:11" x14ac:dyDescent="0.25">
      <c r="A71" t="s">
        <v>100</v>
      </c>
      <c r="C71">
        <v>1100</v>
      </c>
      <c r="D71">
        <v>1301080020</v>
      </c>
      <c r="E71" t="s">
        <v>259</v>
      </c>
      <c r="G71">
        <v>201.8</v>
      </c>
      <c r="I71">
        <v>0</v>
      </c>
      <c r="K71" s="10">
        <f t="shared" ref="K71:K134" si="1">G71-I71</f>
        <v>201.8</v>
      </c>
    </row>
    <row r="72" spans="1:11" x14ac:dyDescent="0.25">
      <c r="A72" t="s">
        <v>660</v>
      </c>
      <c r="C72">
        <v>1100</v>
      </c>
      <c r="D72">
        <v>1301080023</v>
      </c>
      <c r="E72" t="s">
        <v>628</v>
      </c>
      <c r="G72" s="10">
        <v>366804.11</v>
      </c>
      <c r="I72">
        <v>0</v>
      </c>
      <c r="K72" s="10">
        <f t="shared" si="1"/>
        <v>366804.11</v>
      </c>
    </row>
    <row r="73" spans="1:11" x14ac:dyDescent="0.25">
      <c r="A73" t="s">
        <v>661</v>
      </c>
      <c r="C73">
        <v>1100</v>
      </c>
      <c r="D73">
        <v>2905028008</v>
      </c>
      <c r="E73" t="s">
        <v>632</v>
      </c>
      <c r="G73">
        <v>0</v>
      </c>
      <c r="I73">
        <v>75.459999999999994</v>
      </c>
      <c r="K73" s="10">
        <f t="shared" si="1"/>
        <v>-75.459999999999994</v>
      </c>
    </row>
    <row r="74" spans="1:11" x14ac:dyDescent="0.25">
      <c r="A74" t="s">
        <v>15</v>
      </c>
      <c r="C74">
        <v>1100</v>
      </c>
      <c r="D74">
        <v>2905010001</v>
      </c>
      <c r="E74" t="s">
        <v>16</v>
      </c>
      <c r="G74">
        <v>0</v>
      </c>
      <c r="I74" s="10">
        <v>47844.89</v>
      </c>
      <c r="K74" s="10">
        <f t="shared" si="1"/>
        <v>-47844.89</v>
      </c>
    </row>
    <row r="75" spans="1:11" x14ac:dyDescent="0.25">
      <c r="A75" t="s">
        <v>662</v>
      </c>
      <c r="C75">
        <v>1120</v>
      </c>
      <c r="D75">
        <v>1301113100</v>
      </c>
      <c r="E75" t="s">
        <v>601</v>
      </c>
      <c r="G75">
        <v>0</v>
      </c>
      <c r="I75">
        <v>0</v>
      </c>
      <c r="K75" s="10">
        <f t="shared" si="1"/>
        <v>0</v>
      </c>
    </row>
    <row r="76" spans="1:11" x14ac:dyDescent="0.25">
      <c r="A76" t="s">
        <v>663</v>
      </c>
      <c r="C76">
        <v>1120</v>
      </c>
      <c r="D76">
        <v>1301150002</v>
      </c>
      <c r="E76" t="s">
        <v>605</v>
      </c>
      <c r="G76">
        <v>0</v>
      </c>
      <c r="I76">
        <v>0</v>
      </c>
      <c r="K76" s="10">
        <f t="shared" si="1"/>
        <v>0</v>
      </c>
    </row>
    <row r="77" spans="1:11" x14ac:dyDescent="0.25">
      <c r="A77" t="s">
        <v>664</v>
      </c>
      <c r="C77">
        <v>1120</v>
      </c>
      <c r="D77">
        <v>1301100001</v>
      </c>
      <c r="E77" t="s">
        <v>607</v>
      </c>
      <c r="G77">
        <v>0</v>
      </c>
      <c r="I77" s="11">
        <v>3873503</v>
      </c>
      <c r="K77" s="10">
        <f t="shared" si="1"/>
        <v>-3873503</v>
      </c>
    </row>
    <row r="78" spans="1:11" x14ac:dyDescent="0.25">
      <c r="A78" t="s">
        <v>665</v>
      </c>
      <c r="C78">
        <v>1120</v>
      </c>
      <c r="D78">
        <v>1301140001</v>
      </c>
      <c r="E78" t="s">
        <v>666</v>
      </c>
      <c r="G78" s="11">
        <v>887382</v>
      </c>
      <c r="I78">
        <v>0</v>
      </c>
      <c r="K78" s="10">
        <f t="shared" si="1"/>
        <v>887382</v>
      </c>
    </row>
    <row r="79" spans="1:11" x14ac:dyDescent="0.25">
      <c r="A79" t="s">
        <v>667</v>
      </c>
      <c r="C79">
        <v>1120</v>
      </c>
      <c r="D79">
        <v>2905033100</v>
      </c>
      <c r="E79" t="s">
        <v>634</v>
      </c>
      <c r="G79">
        <v>0</v>
      </c>
      <c r="I79">
        <v>0</v>
      </c>
      <c r="K79" s="10">
        <f t="shared" si="1"/>
        <v>0</v>
      </c>
    </row>
    <row r="80" spans="1:11" x14ac:dyDescent="0.25">
      <c r="A80" t="s">
        <v>668</v>
      </c>
      <c r="C80">
        <v>1120</v>
      </c>
      <c r="D80">
        <v>2905031001</v>
      </c>
      <c r="E80" t="s">
        <v>640</v>
      </c>
      <c r="G80">
        <v>0</v>
      </c>
      <c r="I80">
        <v>0</v>
      </c>
      <c r="K80" s="10">
        <f t="shared" si="1"/>
        <v>0</v>
      </c>
    </row>
    <row r="81" spans="1:11" x14ac:dyDescent="0.25">
      <c r="A81" t="s">
        <v>669</v>
      </c>
      <c r="C81">
        <v>1130</v>
      </c>
      <c r="D81">
        <v>1301113100</v>
      </c>
      <c r="E81" t="s">
        <v>601</v>
      </c>
      <c r="G81">
        <v>0</v>
      </c>
      <c r="I81" s="11">
        <v>18153605</v>
      </c>
      <c r="K81" s="10">
        <f t="shared" si="1"/>
        <v>-18153605</v>
      </c>
    </row>
    <row r="82" spans="1:11" x14ac:dyDescent="0.25">
      <c r="A82" t="s">
        <v>670</v>
      </c>
      <c r="C82">
        <v>1130</v>
      </c>
      <c r="D82">
        <v>1301130003</v>
      </c>
      <c r="E82" t="s">
        <v>671</v>
      </c>
      <c r="G82">
        <v>0</v>
      </c>
      <c r="I82">
        <v>0</v>
      </c>
      <c r="K82" s="10">
        <f t="shared" si="1"/>
        <v>0</v>
      </c>
    </row>
    <row r="83" spans="1:11" x14ac:dyDescent="0.25">
      <c r="A83" t="s">
        <v>672</v>
      </c>
      <c r="C83">
        <v>1130</v>
      </c>
      <c r="D83">
        <v>1301150002</v>
      </c>
      <c r="E83" t="s">
        <v>605</v>
      </c>
      <c r="G83">
        <v>0</v>
      </c>
      <c r="I83">
        <v>0</v>
      </c>
      <c r="K83" s="10">
        <f t="shared" si="1"/>
        <v>0</v>
      </c>
    </row>
    <row r="84" spans="1:11" x14ac:dyDescent="0.25">
      <c r="A84" t="s">
        <v>673</v>
      </c>
      <c r="C84">
        <v>1130</v>
      </c>
      <c r="D84">
        <v>1301100001</v>
      </c>
      <c r="E84" t="s">
        <v>607</v>
      </c>
      <c r="G84">
        <v>0</v>
      </c>
      <c r="I84" s="11">
        <v>82665</v>
      </c>
      <c r="K84" s="10">
        <f t="shared" si="1"/>
        <v>-82665</v>
      </c>
    </row>
    <row r="85" spans="1:11" x14ac:dyDescent="0.25">
      <c r="A85" t="s">
        <v>674</v>
      </c>
      <c r="C85">
        <v>1130</v>
      </c>
      <c r="D85">
        <v>1301160001</v>
      </c>
      <c r="E85" t="s">
        <v>675</v>
      </c>
      <c r="G85">
        <v>0</v>
      </c>
      <c r="I85">
        <v>0</v>
      </c>
      <c r="K85" s="10">
        <f t="shared" si="1"/>
        <v>0</v>
      </c>
    </row>
    <row r="86" spans="1:11" x14ac:dyDescent="0.25">
      <c r="A86" t="s">
        <v>676</v>
      </c>
      <c r="C86">
        <v>1130</v>
      </c>
      <c r="D86">
        <v>1301170001</v>
      </c>
      <c r="E86" t="s">
        <v>677</v>
      </c>
      <c r="G86">
        <v>0</v>
      </c>
      <c r="I86" s="11">
        <v>79367</v>
      </c>
      <c r="K86" s="10">
        <f t="shared" si="1"/>
        <v>-79367</v>
      </c>
    </row>
    <row r="87" spans="1:11" x14ac:dyDescent="0.25">
      <c r="A87" t="s">
        <v>678</v>
      </c>
      <c r="C87">
        <v>1130</v>
      </c>
      <c r="D87">
        <v>1301130001</v>
      </c>
      <c r="E87" t="s">
        <v>679</v>
      </c>
      <c r="G87">
        <v>0</v>
      </c>
      <c r="I87" s="11">
        <v>321760</v>
      </c>
      <c r="K87" s="10">
        <f t="shared" si="1"/>
        <v>-321760</v>
      </c>
    </row>
    <row r="88" spans="1:11" x14ac:dyDescent="0.25">
      <c r="A88" t="s">
        <v>680</v>
      </c>
      <c r="C88">
        <v>1130</v>
      </c>
      <c r="D88">
        <v>2905033140</v>
      </c>
      <c r="E88" t="s">
        <v>681</v>
      </c>
      <c r="G88">
        <v>0</v>
      </c>
      <c r="I88" s="11">
        <v>8830996</v>
      </c>
      <c r="K88" s="10">
        <f t="shared" si="1"/>
        <v>-8830996</v>
      </c>
    </row>
    <row r="89" spans="1:11" x14ac:dyDescent="0.25">
      <c r="A89" t="s">
        <v>682</v>
      </c>
      <c r="C89">
        <v>1130</v>
      </c>
      <c r="D89">
        <v>1301113140</v>
      </c>
      <c r="E89" t="s">
        <v>683</v>
      </c>
      <c r="G89" s="11">
        <v>33616</v>
      </c>
      <c r="I89">
        <v>0</v>
      </c>
      <c r="K89" s="10">
        <f t="shared" si="1"/>
        <v>33616</v>
      </c>
    </row>
    <row r="90" spans="1:11" x14ac:dyDescent="0.25">
      <c r="A90" t="s">
        <v>684</v>
      </c>
      <c r="C90">
        <v>1130</v>
      </c>
      <c r="D90">
        <v>2905033100</v>
      </c>
      <c r="E90" t="s">
        <v>634</v>
      </c>
      <c r="G90">
        <v>0</v>
      </c>
      <c r="I90" s="11">
        <v>18175371789</v>
      </c>
      <c r="K90" s="10">
        <f t="shared" si="1"/>
        <v>-18175371789</v>
      </c>
    </row>
    <row r="91" spans="1:11" x14ac:dyDescent="0.25">
      <c r="A91" t="s">
        <v>685</v>
      </c>
      <c r="C91">
        <v>1130</v>
      </c>
      <c r="D91">
        <v>2905031001</v>
      </c>
      <c r="E91" t="s">
        <v>640</v>
      </c>
      <c r="G91">
        <v>0</v>
      </c>
      <c r="I91">
        <v>0</v>
      </c>
      <c r="K91" s="10">
        <f t="shared" si="1"/>
        <v>0</v>
      </c>
    </row>
    <row r="92" spans="1:11" x14ac:dyDescent="0.25">
      <c r="A92" t="s">
        <v>686</v>
      </c>
      <c r="C92">
        <v>1150</v>
      </c>
      <c r="D92">
        <v>1301113100</v>
      </c>
      <c r="E92" t="s">
        <v>601</v>
      </c>
      <c r="G92">
        <v>0</v>
      </c>
      <c r="I92">
        <v>0</v>
      </c>
      <c r="K92" s="10">
        <f t="shared" si="1"/>
        <v>0</v>
      </c>
    </row>
    <row r="93" spans="1:11" x14ac:dyDescent="0.25">
      <c r="A93" t="s">
        <v>687</v>
      </c>
      <c r="C93">
        <v>1150</v>
      </c>
      <c r="D93">
        <v>1301150001</v>
      </c>
      <c r="E93" t="s">
        <v>18</v>
      </c>
      <c r="G93">
        <v>0</v>
      </c>
      <c r="I93">
        <v>0</v>
      </c>
      <c r="K93" s="10">
        <f t="shared" si="1"/>
        <v>0</v>
      </c>
    </row>
    <row r="94" spans="1:11" x14ac:dyDescent="0.25">
      <c r="A94" t="s">
        <v>688</v>
      </c>
      <c r="C94">
        <v>1150</v>
      </c>
      <c r="D94">
        <v>1301100001</v>
      </c>
      <c r="E94" t="s">
        <v>607</v>
      </c>
      <c r="G94">
        <v>0</v>
      </c>
      <c r="I94">
        <v>0</v>
      </c>
      <c r="K94" s="10">
        <f t="shared" si="1"/>
        <v>0</v>
      </c>
    </row>
    <row r="95" spans="1:11" x14ac:dyDescent="0.25">
      <c r="A95" t="s">
        <v>689</v>
      </c>
      <c r="C95">
        <v>1150</v>
      </c>
      <c r="D95">
        <v>1301160001</v>
      </c>
      <c r="E95" t="s">
        <v>675</v>
      </c>
      <c r="G95">
        <v>0</v>
      </c>
      <c r="I95">
        <v>0</v>
      </c>
      <c r="K95" s="10">
        <f t="shared" si="1"/>
        <v>0</v>
      </c>
    </row>
    <row r="96" spans="1:11" x14ac:dyDescent="0.25">
      <c r="A96" t="s">
        <v>690</v>
      </c>
      <c r="C96">
        <v>1150</v>
      </c>
      <c r="D96">
        <v>1301170001</v>
      </c>
      <c r="E96" t="s">
        <v>677</v>
      </c>
      <c r="G96">
        <v>0</v>
      </c>
      <c r="I96">
        <v>0</v>
      </c>
      <c r="K96" s="10">
        <f t="shared" si="1"/>
        <v>0</v>
      </c>
    </row>
    <row r="97" spans="1:11" x14ac:dyDescent="0.25">
      <c r="A97" t="s">
        <v>691</v>
      </c>
      <c r="C97">
        <v>1150</v>
      </c>
      <c r="D97">
        <v>1301130001</v>
      </c>
      <c r="E97" t="s">
        <v>679</v>
      </c>
      <c r="G97">
        <v>0</v>
      </c>
      <c r="I97">
        <v>0</v>
      </c>
      <c r="K97" s="10">
        <f t="shared" si="1"/>
        <v>0</v>
      </c>
    </row>
    <row r="98" spans="1:11" x14ac:dyDescent="0.25">
      <c r="A98" t="s">
        <v>692</v>
      </c>
      <c r="C98">
        <v>1150</v>
      </c>
      <c r="D98">
        <v>1301140001</v>
      </c>
      <c r="E98" t="s">
        <v>666</v>
      </c>
      <c r="G98">
        <v>0</v>
      </c>
      <c r="I98">
        <v>0</v>
      </c>
      <c r="K98" s="10">
        <f t="shared" si="1"/>
        <v>0</v>
      </c>
    </row>
    <row r="99" spans="1:11" x14ac:dyDescent="0.25">
      <c r="A99" t="s">
        <v>693</v>
      </c>
      <c r="C99">
        <v>1150</v>
      </c>
      <c r="D99">
        <v>1301110001</v>
      </c>
      <c r="E99" t="s">
        <v>12</v>
      </c>
      <c r="G99" s="11">
        <v>1103790</v>
      </c>
      <c r="I99">
        <v>0</v>
      </c>
      <c r="K99" s="10">
        <f t="shared" si="1"/>
        <v>1103790</v>
      </c>
    </row>
    <row r="100" spans="1:11" x14ac:dyDescent="0.25">
      <c r="A100" t="s">
        <v>694</v>
      </c>
      <c r="C100">
        <v>1150</v>
      </c>
      <c r="D100">
        <v>1301160002</v>
      </c>
      <c r="E100" t="s">
        <v>695</v>
      </c>
      <c r="G100">
        <v>0</v>
      </c>
      <c r="I100" s="11">
        <v>40000000</v>
      </c>
      <c r="K100" s="10">
        <f t="shared" si="1"/>
        <v>-40000000</v>
      </c>
    </row>
    <row r="101" spans="1:11" x14ac:dyDescent="0.25">
      <c r="A101" t="s">
        <v>696</v>
      </c>
      <c r="C101">
        <v>1150</v>
      </c>
      <c r="D101">
        <v>1301080023</v>
      </c>
      <c r="E101" t="s">
        <v>628</v>
      </c>
      <c r="G101" s="11">
        <v>18341278</v>
      </c>
      <c r="I101">
        <v>0</v>
      </c>
      <c r="K101" s="10">
        <f t="shared" si="1"/>
        <v>18341278</v>
      </c>
    </row>
    <row r="102" spans="1:11" x14ac:dyDescent="0.25">
      <c r="A102" t="s">
        <v>697</v>
      </c>
      <c r="C102">
        <v>1150</v>
      </c>
      <c r="D102">
        <v>2905033100</v>
      </c>
      <c r="E102" t="s">
        <v>634</v>
      </c>
      <c r="G102">
        <v>0</v>
      </c>
      <c r="I102">
        <v>0</v>
      </c>
      <c r="K102" s="10">
        <f t="shared" si="1"/>
        <v>0</v>
      </c>
    </row>
    <row r="103" spans="1:11" x14ac:dyDescent="0.25">
      <c r="A103" t="s">
        <v>698</v>
      </c>
      <c r="C103">
        <v>1150</v>
      </c>
      <c r="D103">
        <v>2905024001</v>
      </c>
      <c r="E103" t="s">
        <v>10</v>
      </c>
      <c r="G103" s="11">
        <v>191298197</v>
      </c>
      <c r="I103">
        <v>0</v>
      </c>
      <c r="K103" s="10">
        <f t="shared" si="1"/>
        <v>191298197</v>
      </c>
    </row>
    <row r="104" spans="1:11" x14ac:dyDescent="0.25">
      <c r="A104" t="s">
        <v>699</v>
      </c>
      <c r="C104">
        <v>1150</v>
      </c>
      <c r="D104">
        <v>2905031001</v>
      </c>
      <c r="E104" t="s">
        <v>640</v>
      </c>
      <c r="G104">
        <v>0</v>
      </c>
      <c r="I104">
        <v>0</v>
      </c>
      <c r="K104" s="10">
        <f t="shared" si="1"/>
        <v>0</v>
      </c>
    </row>
    <row r="105" spans="1:11" x14ac:dyDescent="0.25">
      <c r="A105" t="s">
        <v>700</v>
      </c>
      <c r="C105">
        <v>1150</v>
      </c>
      <c r="D105">
        <v>2905032001</v>
      </c>
      <c r="E105" t="s">
        <v>701</v>
      </c>
      <c r="G105">
        <v>0</v>
      </c>
      <c r="I105">
        <v>0</v>
      </c>
      <c r="K105" s="10">
        <f t="shared" si="1"/>
        <v>0</v>
      </c>
    </row>
    <row r="106" spans="1:11" x14ac:dyDescent="0.25">
      <c r="A106" t="s">
        <v>702</v>
      </c>
      <c r="C106">
        <v>1150</v>
      </c>
      <c r="D106">
        <v>2905033001</v>
      </c>
      <c r="E106" t="s">
        <v>703</v>
      </c>
      <c r="G106">
        <v>0</v>
      </c>
      <c r="I106">
        <v>0</v>
      </c>
      <c r="K106" s="10">
        <f t="shared" si="1"/>
        <v>0</v>
      </c>
    </row>
    <row r="107" spans="1:11" x14ac:dyDescent="0.25">
      <c r="A107" t="s">
        <v>704</v>
      </c>
      <c r="C107">
        <v>1190</v>
      </c>
      <c r="D107">
        <v>1301113100</v>
      </c>
      <c r="E107" t="s">
        <v>601</v>
      </c>
      <c r="G107">
        <v>0</v>
      </c>
      <c r="I107">
        <v>0</v>
      </c>
      <c r="K107" s="10">
        <f t="shared" si="1"/>
        <v>0</v>
      </c>
    </row>
    <row r="108" spans="1:11" x14ac:dyDescent="0.25">
      <c r="A108" t="s">
        <v>705</v>
      </c>
      <c r="C108">
        <v>1190</v>
      </c>
      <c r="D108">
        <v>2905031001</v>
      </c>
      <c r="E108" t="s">
        <v>640</v>
      </c>
      <c r="G108">
        <v>0</v>
      </c>
      <c r="I108">
        <v>0</v>
      </c>
      <c r="K108" s="10">
        <f t="shared" si="1"/>
        <v>0</v>
      </c>
    </row>
    <row r="109" spans="1:11" x14ac:dyDescent="0.25">
      <c r="A109" t="s">
        <v>706</v>
      </c>
      <c r="C109">
        <v>1200</v>
      </c>
      <c r="D109">
        <v>1301111250</v>
      </c>
      <c r="E109" t="s">
        <v>707</v>
      </c>
      <c r="G109">
        <v>0</v>
      </c>
      <c r="I109">
        <v>0</v>
      </c>
      <c r="K109" s="10">
        <f t="shared" si="1"/>
        <v>0</v>
      </c>
    </row>
    <row r="110" spans="1:11" x14ac:dyDescent="0.25">
      <c r="A110" t="s">
        <v>186</v>
      </c>
      <c r="C110">
        <v>1200</v>
      </c>
      <c r="D110">
        <v>1301080004</v>
      </c>
      <c r="E110" t="s">
        <v>78</v>
      </c>
      <c r="G110">
        <v>0</v>
      </c>
      <c r="I110">
        <v>0</v>
      </c>
      <c r="K110" s="10">
        <f t="shared" si="1"/>
        <v>0</v>
      </c>
    </row>
    <row r="111" spans="1:11" x14ac:dyDescent="0.25">
      <c r="A111" t="s">
        <v>708</v>
      </c>
      <c r="C111">
        <v>1200</v>
      </c>
      <c r="D111">
        <v>1301150001</v>
      </c>
      <c r="E111" t="s">
        <v>18</v>
      </c>
      <c r="G111" s="10">
        <v>27278.31</v>
      </c>
      <c r="I111">
        <v>0</v>
      </c>
      <c r="K111" s="10">
        <f t="shared" si="1"/>
        <v>27278.31</v>
      </c>
    </row>
    <row r="112" spans="1:11" x14ac:dyDescent="0.25">
      <c r="A112" t="s">
        <v>158</v>
      </c>
      <c r="C112">
        <v>1200</v>
      </c>
      <c r="D112">
        <v>1301080003</v>
      </c>
      <c r="E112" t="s">
        <v>60</v>
      </c>
      <c r="G112" s="10">
        <v>38287.9</v>
      </c>
      <c r="I112">
        <v>0</v>
      </c>
      <c r="K112" s="10">
        <f t="shared" si="1"/>
        <v>38287.9</v>
      </c>
    </row>
    <row r="113" spans="1:11" x14ac:dyDescent="0.25">
      <c r="A113" t="s">
        <v>709</v>
      </c>
      <c r="C113">
        <v>1200</v>
      </c>
      <c r="D113">
        <v>1301080039</v>
      </c>
      <c r="E113" t="s">
        <v>609</v>
      </c>
      <c r="G113">
        <v>0</v>
      </c>
      <c r="I113" s="10">
        <v>43875466.909999996</v>
      </c>
      <c r="K113" s="10">
        <f t="shared" si="1"/>
        <v>-43875466.909999996</v>
      </c>
    </row>
    <row r="114" spans="1:11" x14ac:dyDescent="0.25">
      <c r="A114" t="s">
        <v>23</v>
      </c>
      <c r="C114">
        <v>1200</v>
      </c>
      <c r="D114">
        <v>1301110001</v>
      </c>
      <c r="E114" t="s">
        <v>12</v>
      </c>
      <c r="G114" s="10">
        <v>209559.85</v>
      </c>
      <c r="I114">
        <v>0</v>
      </c>
      <c r="K114" s="10">
        <f t="shared" si="1"/>
        <v>209559.85</v>
      </c>
    </row>
    <row r="115" spans="1:11" x14ac:dyDescent="0.25">
      <c r="A115" t="s">
        <v>103</v>
      </c>
      <c r="C115">
        <v>1200</v>
      </c>
      <c r="D115">
        <v>2905028014</v>
      </c>
      <c r="E115" t="s">
        <v>62</v>
      </c>
      <c r="G115">
        <v>0</v>
      </c>
      <c r="I115" s="10">
        <v>455687.58</v>
      </c>
      <c r="K115" s="10">
        <f t="shared" si="1"/>
        <v>-455687.58</v>
      </c>
    </row>
    <row r="116" spans="1:11" x14ac:dyDescent="0.25">
      <c r="A116" t="s">
        <v>108</v>
      </c>
      <c r="C116">
        <v>1200</v>
      </c>
      <c r="D116">
        <v>1301080020</v>
      </c>
      <c r="E116" t="s">
        <v>259</v>
      </c>
      <c r="G116">
        <v>260.97000000000003</v>
      </c>
      <c r="I116">
        <v>0</v>
      </c>
      <c r="K116" s="10">
        <f t="shared" si="1"/>
        <v>260.97000000000003</v>
      </c>
    </row>
    <row r="117" spans="1:11" x14ac:dyDescent="0.25">
      <c r="A117" t="s">
        <v>363</v>
      </c>
      <c r="C117">
        <v>1200</v>
      </c>
      <c r="D117">
        <v>1301080021</v>
      </c>
      <c r="E117" t="s">
        <v>88</v>
      </c>
      <c r="G117">
        <v>0</v>
      </c>
      <c r="I117">
        <v>0</v>
      </c>
      <c r="K117" s="10">
        <f t="shared" si="1"/>
        <v>0</v>
      </c>
    </row>
    <row r="118" spans="1:11" x14ac:dyDescent="0.25">
      <c r="A118" t="s">
        <v>710</v>
      </c>
      <c r="C118">
        <v>1200</v>
      </c>
      <c r="D118">
        <v>2905028008</v>
      </c>
      <c r="E118" t="s">
        <v>632</v>
      </c>
      <c r="G118">
        <v>0</v>
      </c>
      <c r="I118">
        <v>104.14</v>
      </c>
      <c r="K118" s="10">
        <f t="shared" si="1"/>
        <v>-104.14</v>
      </c>
    </row>
    <row r="119" spans="1:11" x14ac:dyDescent="0.25">
      <c r="A119" t="s">
        <v>26</v>
      </c>
      <c r="C119">
        <v>1200</v>
      </c>
      <c r="D119">
        <v>2905010001</v>
      </c>
      <c r="E119" t="s">
        <v>16</v>
      </c>
      <c r="G119">
        <v>0</v>
      </c>
      <c r="I119" s="10">
        <v>538696.59</v>
      </c>
      <c r="K119" s="10">
        <f t="shared" si="1"/>
        <v>-538696.59</v>
      </c>
    </row>
    <row r="120" spans="1:11" x14ac:dyDescent="0.25">
      <c r="A120" t="s">
        <v>711</v>
      </c>
      <c r="C120">
        <v>1200</v>
      </c>
      <c r="D120">
        <v>2905024001</v>
      </c>
      <c r="E120" t="s">
        <v>10</v>
      </c>
      <c r="G120">
        <v>0</v>
      </c>
      <c r="I120" s="10">
        <v>8219.73</v>
      </c>
      <c r="K120" s="10">
        <f t="shared" si="1"/>
        <v>-8219.73</v>
      </c>
    </row>
    <row r="121" spans="1:11" x14ac:dyDescent="0.25">
      <c r="A121" t="s">
        <v>712</v>
      </c>
      <c r="C121">
        <v>1200</v>
      </c>
      <c r="D121">
        <v>2905022005</v>
      </c>
      <c r="E121" t="s">
        <v>52</v>
      </c>
      <c r="G121">
        <v>0</v>
      </c>
      <c r="I121" s="10">
        <v>26139.08</v>
      </c>
      <c r="K121" s="10">
        <f t="shared" si="1"/>
        <v>-26139.08</v>
      </c>
    </row>
    <row r="122" spans="1:11" x14ac:dyDescent="0.25">
      <c r="A122" t="s">
        <v>713</v>
      </c>
      <c r="C122">
        <v>1200</v>
      </c>
      <c r="D122">
        <v>2905028001</v>
      </c>
      <c r="E122" t="s">
        <v>72</v>
      </c>
      <c r="G122">
        <v>0</v>
      </c>
      <c r="I122" s="10">
        <v>109685.88</v>
      </c>
      <c r="K122" s="10">
        <f t="shared" si="1"/>
        <v>-109685.88</v>
      </c>
    </row>
    <row r="123" spans="1:11" x14ac:dyDescent="0.25">
      <c r="A123" t="s">
        <v>354</v>
      </c>
      <c r="C123">
        <v>1200</v>
      </c>
      <c r="D123">
        <v>1301080041</v>
      </c>
      <c r="E123" t="s">
        <v>292</v>
      </c>
      <c r="G123" s="10">
        <v>10026.69</v>
      </c>
      <c r="I123">
        <v>0</v>
      </c>
      <c r="K123" s="10">
        <f t="shared" si="1"/>
        <v>10026.69</v>
      </c>
    </row>
    <row r="124" spans="1:11" x14ac:dyDescent="0.25">
      <c r="A124" t="s">
        <v>714</v>
      </c>
      <c r="C124">
        <v>1250</v>
      </c>
      <c r="D124">
        <v>1301113100</v>
      </c>
      <c r="E124" t="s">
        <v>601</v>
      </c>
      <c r="G124" s="11">
        <v>3216730</v>
      </c>
      <c r="I124">
        <v>0</v>
      </c>
      <c r="K124" s="10">
        <f t="shared" si="1"/>
        <v>3216730</v>
      </c>
    </row>
    <row r="125" spans="1:11" x14ac:dyDescent="0.25">
      <c r="A125" t="s">
        <v>715</v>
      </c>
      <c r="C125">
        <v>1250</v>
      </c>
      <c r="D125">
        <v>1301100001</v>
      </c>
      <c r="E125" t="s">
        <v>607</v>
      </c>
      <c r="G125">
        <v>0</v>
      </c>
      <c r="I125">
        <v>0</v>
      </c>
      <c r="K125" s="10">
        <f t="shared" si="1"/>
        <v>0</v>
      </c>
    </row>
    <row r="126" spans="1:11" x14ac:dyDescent="0.25">
      <c r="A126" t="s">
        <v>716</v>
      </c>
      <c r="C126">
        <v>1250</v>
      </c>
      <c r="D126">
        <v>2905028016</v>
      </c>
      <c r="E126" t="s">
        <v>22</v>
      </c>
      <c r="G126">
        <v>0</v>
      </c>
      <c r="I126" s="11">
        <v>2516460015</v>
      </c>
      <c r="K126" s="10">
        <f t="shared" si="1"/>
        <v>-2516460015</v>
      </c>
    </row>
    <row r="127" spans="1:11" x14ac:dyDescent="0.25">
      <c r="A127" t="s">
        <v>717</v>
      </c>
      <c r="C127">
        <v>1250</v>
      </c>
      <c r="D127">
        <v>2905010001</v>
      </c>
      <c r="E127" t="s">
        <v>16</v>
      </c>
      <c r="G127" s="11">
        <v>118760858</v>
      </c>
      <c r="I127">
        <v>0</v>
      </c>
      <c r="K127" s="10">
        <f t="shared" si="1"/>
        <v>118760858</v>
      </c>
    </row>
    <row r="128" spans="1:11" x14ac:dyDescent="0.25">
      <c r="A128" t="s">
        <v>718</v>
      </c>
      <c r="C128">
        <v>1300</v>
      </c>
      <c r="D128">
        <v>1301110001</v>
      </c>
      <c r="E128" t="s">
        <v>12</v>
      </c>
      <c r="G128">
        <v>0</v>
      </c>
      <c r="I128">
        <v>457.39</v>
      </c>
      <c r="K128" s="10">
        <f t="shared" si="1"/>
        <v>-457.39</v>
      </c>
    </row>
    <row r="129" spans="1:11" x14ac:dyDescent="0.25">
      <c r="A129" t="s">
        <v>719</v>
      </c>
      <c r="C129">
        <v>1300</v>
      </c>
      <c r="D129">
        <v>2905028014</v>
      </c>
      <c r="E129" t="s">
        <v>62</v>
      </c>
      <c r="G129" s="10">
        <v>35615.26</v>
      </c>
      <c r="I129">
        <v>0</v>
      </c>
      <c r="K129" s="10">
        <f t="shared" si="1"/>
        <v>35615.26</v>
      </c>
    </row>
    <row r="130" spans="1:11" x14ac:dyDescent="0.25">
      <c r="A130" t="s">
        <v>720</v>
      </c>
      <c r="C130">
        <v>1300</v>
      </c>
      <c r="D130">
        <v>1301080020</v>
      </c>
      <c r="E130" t="s">
        <v>259</v>
      </c>
      <c r="G130">
        <v>0</v>
      </c>
      <c r="I130">
        <v>52.75</v>
      </c>
      <c r="K130" s="10">
        <f t="shared" si="1"/>
        <v>-52.75</v>
      </c>
    </row>
    <row r="131" spans="1:11" x14ac:dyDescent="0.25">
      <c r="A131" t="s">
        <v>721</v>
      </c>
      <c r="C131">
        <v>1300</v>
      </c>
      <c r="D131">
        <v>2905021008</v>
      </c>
      <c r="E131" t="s">
        <v>210</v>
      </c>
      <c r="G131">
        <v>0</v>
      </c>
      <c r="I131">
        <v>0</v>
      </c>
      <c r="K131" s="10">
        <f t="shared" si="1"/>
        <v>0</v>
      </c>
    </row>
    <row r="132" spans="1:11" x14ac:dyDescent="0.25">
      <c r="A132" t="s">
        <v>722</v>
      </c>
      <c r="C132">
        <v>1300</v>
      </c>
      <c r="D132">
        <v>2905010001</v>
      </c>
      <c r="E132" t="s">
        <v>16</v>
      </c>
      <c r="G132" s="10">
        <v>317327.21000000002</v>
      </c>
      <c r="I132">
        <v>0</v>
      </c>
      <c r="K132" s="10">
        <f t="shared" si="1"/>
        <v>317327.21000000002</v>
      </c>
    </row>
    <row r="133" spans="1:11" x14ac:dyDescent="0.25">
      <c r="A133" t="s">
        <v>723</v>
      </c>
      <c r="C133">
        <v>1300</v>
      </c>
      <c r="D133">
        <v>2905028001</v>
      </c>
      <c r="E133" t="s">
        <v>72</v>
      </c>
      <c r="G133">
        <v>0</v>
      </c>
      <c r="I133">
        <v>3.43</v>
      </c>
      <c r="K133" s="10">
        <f t="shared" si="1"/>
        <v>-3.43</v>
      </c>
    </row>
    <row r="134" spans="1:11" x14ac:dyDescent="0.25">
      <c r="A134" t="s">
        <v>33</v>
      </c>
      <c r="C134">
        <v>1400</v>
      </c>
      <c r="D134">
        <v>1301110001</v>
      </c>
      <c r="E134" t="s">
        <v>12</v>
      </c>
      <c r="G134">
        <v>0</v>
      </c>
      <c r="I134">
        <v>0</v>
      </c>
      <c r="K134" s="10">
        <f t="shared" si="1"/>
        <v>0</v>
      </c>
    </row>
    <row r="135" spans="1:11" x14ac:dyDescent="0.25">
      <c r="A135" t="s">
        <v>724</v>
      </c>
      <c r="C135">
        <v>1400</v>
      </c>
      <c r="D135">
        <v>2905028029</v>
      </c>
      <c r="E135" t="s">
        <v>621</v>
      </c>
      <c r="G135">
        <v>0</v>
      </c>
      <c r="I135">
        <v>0</v>
      </c>
      <c r="K135" s="10">
        <f t="shared" ref="K135:K198" si="2">G135-I135</f>
        <v>0</v>
      </c>
    </row>
    <row r="136" spans="1:11" x14ac:dyDescent="0.25">
      <c r="A136" t="s">
        <v>111</v>
      </c>
      <c r="C136">
        <v>1400</v>
      </c>
      <c r="D136">
        <v>2905028014</v>
      </c>
      <c r="E136" t="s">
        <v>62</v>
      </c>
      <c r="G136">
        <v>0</v>
      </c>
      <c r="I136" s="10">
        <v>13992.87</v>
      </c>
      <c r="K136" s="10">
        <f t="shared" si="2"/>
        <v>-13992.87</v>
      </c>
    </row>
    <row r="137" spans="1:11" x14ac:dyDescent="0.25">
      <c r="A137" t="s">
        <v>117</v>
      </c>
      <c r="C137">
        <v>1400</v>
      </c>
      <c r="D137">
        <v>1301080020</v>
      </c>
      <c r="E137" t="s">
        <v>259</v>
      </c>
      <c r="G137">
        <v>0</v>
      </c>
      <c r="I137">
        <v>0</v>
      </c>
      <c r="K137" s="10">
        <f t="shared" si="2"/>
        <v>0</v>
      </c>
    </row>
    <row r="138" spans="1:11" x14ac:dyDescent="0.25">
      <c r="A138" t="s">
        <v>725</v>
      </c>
      <c r="C138">
        <v>1400</v>
      </c>
      <c r="D138">
        <v>1301080034</v>
      </c>
      <c r="E138" t="s">
        <v>626</v>
      </c>
      <c r="G138">
        <v>0</v>
      </c>
      <c r="I138">
        <v>0</v>
      </c>
      <c r="K138" s="10">
        <f t="shared" si="2"/>
        <v>0</v>
      </c>
    </row>
    <row r="139" spans="1:11" x14ac:dyDescent="0.25">
      <c r="A139" t="s">
        <v>36</v>
      </c>
      <c r="C139">
        <v>1400</v>
      </c>
      <c r="D139">
        <v>2905010001</v>
      </c>
      <c r="E139" t="s">
        <v>16</v>
      </c>
      <c r="G139">
        <v>0</v>
      </c>
      <c r="I139">
        <v>0</v>
      </c>
      <c r="K139" s="10">
        <f t="shared" si="2"/>
        <v>0</v>
      </c>
    </row>
    <row r="140" spans="1:11" x14ac:dyDescent="0.25">
      <c r="A140" t="s">
        <v>726</v>
      </c>
      <c r="C140">
        <v>1410</v>
      </c>
      <c r="D140">
        <v>1301120004</v>
      </c>
      <c r="E140" t="s">
        <v>38</v>
      </c>
      <c r="G140">
        <v>0</v>
      </c>
      <c r="I140">
        <v>0</v>
      </c>
      <c r="K140" s="10">
        <f t="shared" si="2"/>
        <v>0</v>
      </c>
    </row>
    <row r="141" spans="1:11" x14ac:dyDescent="0.25">
      <c r="A141" t="s">
        <v>727</v>
      </c>
      <c r="C141">
        <v>1410</v>
      </c>
      <c r="D141">
        <v>1301110001</v>
      </c>
      <c r="E141" t="s">
        <v>12</v>
      </c>
      <c r="G141">
        <v>0</v>
      </c>
      <c r="I141">
        <v>0</v>
      </c>
      <c r="K141" s="10">
        <f t="shared" si="2"/>
        <v>0</v>
      </c>
    </row>
    <row r="142" spans="1:11" x14ac:dyDescent="0.25">
      <c r="A142" t="s">
        <v>728</v>
      </c>
      <c r="C142">
        <v>1410</v>
      </c>
      <c r="D142">
        <v>2905010001</v>
      </c>
      <c r="E142" t="s">
        <v>16</v>
      </c>
      <c r="G142">
        <v>0</v>
      </c>
      <c r="I142">
        <v>0</v>
      </c>
      <c r="K142" s="10">
        <f t="shared" si="2"/>
        <v>0</v>
      </c>
    </row>
    <row r="143" spans="1:11" x14ac:dyDescent="0.25">
      <c r="A143" t="s">
        <v>729</v>
      </c>
      <c r="C143">
        <v>1410</v>
      </c>
      <c r="D143">
        <v>2905028003</v>
      </c>
      <c r="E143" t="s">
        <v>116</v>
      </c>
      <c r="G143">
        <v>0</v>
      </c>
      <c r="I143">
        <v>0</v>
      </c>
      <c r="K143" s="10">
        <f t="shared" si="2"/>
        <v>0</v>
      </c>
    </row>
    <row r="144" spans="1:11" x14ac:dyDescent="0.25">
      <c r="A144" t="s">
        <v>151</v>
      </c>
      <c r="C144">
        <v>1500</v>
      </c>
      <c r="D144">
        <v>1301080004</v>
      </c>
      <c r="E144" t="s">
        <v>78</v>
      </c>
      <c r="G144">
        <v>0</v>
      </c>
      <c r="I144">
        <v>0</v>
      </c>
      <c r="K144" s="10">
        <f t="shared" si="2"/>
        <v>0</v>
      </c>
    </row>
    <row r="145" spans="1:11" x14ac:dyDescent="0.25">
      <c r="A145" t="s">
        <v>209</v>
      </c>
      <c r="C145">
        <v>1500</v>
      </c>
      <c r="D145">
        <v>2905028014</v>
      </c>
      <c r="E145" t="s">
        <v>62</v>
      </c>
      <c r="G145">
        <v>0</v>
      </c>
      <c r="I145">
        <v>0</v>
      </c>
      <c r="K145" s="10">
        <f t="shared" si="2"/>
        <v>0</v>
      </c>
    </row>
    <row r="146" spans="1:11" x14ac:dyDescent="0.25">
      <c r="A146" t="s">
        <v>205</v>
      </c>
      <c r="C146">
        <v>1500</v>
      </c>
      <c r="D146">
        <v>1301080020</v>
      </c>
      <c r="E146" t="s">
        <v>259</v>
      </c>
      <c r="G146">
        <v>0</v>
      </c>
      <c r="I146">
        <v>0</v>
      </c>
      <c r="K146" s="10">
        <f t="shared" si="2"/>
        <v>0</v>
      </c>
    </row>
    <row r="147" spans="1:11" x14ac:dyDescent="0.25">
      <c r="A147" t="s">
        <v>730</v>
      </c>
      <c r="C147">
        <v>1500</v>
      </c>
      <c r="D147">
        <v>2905028009</v>
      </c>
      <c r="E147" t="s">
        <v>731</v>
      </c>
      <c r="G147">
        <v>0</v>
      </c>
      <c r="I147" s="10">
        <v>4335652.45</v>
      </c>
      <c r="K147" s="10">
        <f t="shared" si="2"/>
        <v>-4335652.45</v>
      </c>
    </row>
    <row r="148" spans="1:11" x14ac:dyDescent="0.25">
      <c r="A148" t="s">
        <v>46</v>
      </c>
      <c r="C148">
        <v>1500</v>
      </c>
      <c r="D148">
        <v>2905010001</v>
      </c>
      <c r="E148" t="s">
        <v>16</v>
      </c>
      <c r="G148">
        <v>0</v>
      </c>
      <c r="I148">
        <v>0</v>
      </c>
      <c r="K148" s="10">
        <f t="shared" si="2"/>
        <v>0</v>
      </c>
    </row>
    <row r="149" spans="1:11" x14ac:dyDescent="0.25">
      <c r="A149" t="s">
        <v>130</v>
      </c>
      <c r="C149">
        <v>1500</v>
      </c>
      <c r="D149">
        <v>2905022005</v>
      </c>
      <c r="E149" t="s">
        <v>52</v>
      </c>
      <c r="G149" s="10">
        <v>3013.76</v>
      </c>
      <c r="I149">
        <v>0</v>
      </c>
      <c r="K149" s="10">
        <f t="shared" si="2"/>
        <v>3013.76</v>
      </c>
    </row>
    <row r="150" spans="1:11" x14ac:dyDescent="0.25">
      <c r="A150" t="s">
        <v>146</v>
      </c>
      <c r="C150">
        <v>1500</v>
      </c>
      <c r="D150">
        <v>2905028001</v>
      </c>
      <c r="E150" t="s">
        <v>72</v>
      </c>
      <c r="G150">
        <v>0</v>
      </c>
      <c r="I150">
        <v>0</v>
      </c>
      <c r="K150" s="10">
        <f t="shared" si="2"/>
        <v>0</v>
      </c>
    </row>
    <row r="151" spans="1:11" x14ac:dyDescent="0.25">
      <c r="A151" t="s">
        <v>732</v>
      </c>
      <c r="C151">
        <v>1500</v>
      </c>
      <c r="D151">
        <v>2905028012</v>
      </c>
      <c r="E151" t="s">
        <v>154</v>
      </c>
      <c r="G151">
        <v>0</v>
      </c>
      <c r="I151">
        <v>0</v>
      </c>
      <c r="K151" s="10">
        <f t="shared" si="2"/>
        <v>0</v>
      </c>
    </row>
    <row r="152" spans="1:11" x14ac:dyDescent="0.25">
      <c r="A152" t="s">
        <v>733</v>
      </c>
      <c r="C152">
        <v>1500</v>
      </c>
      <c r="D152">
        <v>2905028019</v>
      </c>
      <c r="E152" t="s">
        <v>142</v>
      </c>
      <c r="G152">
        <v>0</v>
      </c>
      <c r="I152">
        <v>0</v>
      </c>
      <c r="K152" s="10">
        <f t="shared" si="2"/>
        <v>0</v>
      </c>
    </row>
    <row r="153" spans="1:11" x14ac:dyDescent="0.25">
      <c r="A153" t="s">
        <v>734</v>
      </c>
      <c r="C153">
        <v>1510</v>
      </c>
      <c r="D153">
        <v>1301080001</v>
      </c>
      <c r="E153" t="s">
        <v>206</v>
      </c>
      <c r="G153">
        <v>0</v>
      </c>
      <c r="I153">
        <v>0</v>
      </c>
      <c r="K153" s="10">
        <f t="shared" si="2"/>
        <v>0</v>
      </c>
    </row>
    <row r="154" spans="1:11" x14ac:dyDescent="0.25">
      <c r="A154" t="s">
        <v>735</v>
      </c>
      <c r="C154">
        <v>1510</v>
      </c>
      <c r="D154">
        <v>1301080004</v>
      </c>
      <c r="E154" t="s">
        <v>78</v>
      </c>
      <c r="G154">
        <v>0</v>
      </c>
      <c r="I154">
        <v>0</v>
      </c>
      <c r="K154" s="10">
        <f t="shared" si="2"/>
        <v>0</v>
      </c>
    </row>
    <row r="155" spans="1:11" x14ac:dyDescent="0.25">
      <c r="A155" t="s">
        <v>736</v>
      </c>
      <c r="C155">
        <v>1510</v>
      </c>
      <c r="D155">
        <v>2905028014</v>
      </c>
      <c r="E155" t="s">
        <v>62</v>
      </c>
      <c r="G155">
        <v>0</v>
      </c>
      <c r="I155">
        <v>0</v>
      </c>
      <c r="K155" s="10">
        <f t="shared" si="2"/>
        <v>0</v>
      </c>
    </row>
    <row r="156" spans="1:11" x14ac:dyDescent="0.25">
      <c r="A156" t="s">
        <v>737</v>
      </c>
      <c r="C156">
        <v>1510</v>
      </c>
      <c r="D156">
        <v>1301080020</v>
      </c>
      <c r="E156" t="s">
        <v>259</v>
      </c>
      <c r="G156">
        <v>0</v>
      </c>
      <c r="I156">
        <v>0</v>
      </c>
      <c r="K156" s="10">
        <f t="shared" si="2"/>
        <v>0</v>
      </c>
    </row>
    <row r="157" spans="1:11" x14ac:dyDescent="0.25">
      <c r="A157" t="s">
        <v>738</v>
      </c>
      <c r="C157">
        <v>1510</v>
      </c>
      <c r="D157">
        <v>2905010001</v>
      </c>
      <c r="E157" t="s">
        <v>16</v>
      </c>
      <c r="G157">
        <v>0</v>
      </c>
      <c r="I157">
        <v>0</v>
      </c>
      <c r="K157" s="10">
        <f t="shared" si="2"/>
        <v>0</v>
      </c>
    </row>
    <row r="158" spans="1:11" x14ac:dyDescent="0.25">
      <c r="A158" t="s">
        <v>739</v>
      </c>
      <c r="C158">
        <v>1510</v>
      </c>
      <c r="D158">
        <v>2905028001</v>
      </c>
      <c r="E158" t="s">
        <v>72</v>
      </c>
      <c r="G158">
        <v>0</v>
      </c>
      <c r="I158">
        <v>0</v>
      </c>
      <c r="K158" s="10">
        <f t="shared" si="2"/>
        <v>0</v>
      </c>
    </row>
    <row r="159" spans="1:11" x14ac:dyDescent="0.25">
      <c r="A159" t="s">
        <v>740</v>
      </c>
      <c r="C159">
        <v>1550</v>
      </c>
      <c r="D159">
        <v>1301110004</v>
      </c>
      <c r="E159" t="s">
        <v>48</v>
      </c>
      <c r="G159" s="10">
        <v>4335652.45</v>
      </c>
      <c r="I159">
        <v>0</v>
      </c>
      <c r="K159" s="10">
        <f t="shared" si="2"/>
        <v>4335652.45</v>
      </c>
    </row>
    <row r="160" spans="1:11" x14ac:dyDescent="0.25">
      <c r="A160" t="s">
        <v>741</v>
      </c>
      <c r="C160">
        <v>1600</v>
      </c>
      <c r="D160">
        <v>1301080004</v>
      </c>
      <c r="E160" t="s">
        <v>78</v>
      </c>
      <c r="G160">
        <v>0</v>
      </c>
      <c r="I160">
        <v>0</v>
      </c>
      <c r="K160" s="10">
        <f t="shared" si="2"/>
        <v>0</v>
      </c>
    </row>
    <row r="161" spans="1:11" x14ac:dyDescent="0.25">
      <c r="A161" t="s">
        <v>742</v>
      </c>
      <c r="C161">
        <v>1600</v>
      </c>
      <c r="D161">
        <v>1301150001</v>
      </c>
      <c r="E161" t="s">
        <v>18</v>
      </c>
      <c r="G161">
        <v>0</v>
      </c>
      <c r="I161">
        <v>0</v>
      </c>
      <c r="K161" s="10">
        <f t="shared" si="2"/>
        <v>0</v>
      </c>
    </row>
    <row r="162" spans="1:11" x14ac:dyDescent="0.25">
      <c r="A162" t="s">
        <v>743</v>
      </c>
      <c r="C162">
        <v>1600</v>
      </c>
      <c r="D162">
        <v>1301080003</v>
      </c>
      <c r="E162" t="s">
        <v>60</v>
      </c>
      <c r="G162">
        <v>0</v>
      </c>
      <c r="I162">
        <v>0</v>
      </c>
      <c r="K162" s="10">
        <f t="shared" si="2"/>
        <v>0</v>
      </c>
    </row>
    <row r="163" spans="1:11" x14ac:dyDescent="0.25">
      <c r="A163" t="s">
        <v>404</v>
      </c>
      <c r="C163">
        <v>1600</v>
      </c>
      <c r="D163">
        <v>1301110001</v>
      </c>
      <c r="E163" t="s">
        <v>12</v>
      </c>
      <c r="G163">
        <v>0</v>
      </c>
      <c r="I163">
        <v>0</v>
      </c>
      <c r="K163" s="10">
        <f t="shared" si="2"/>
        <v>0</v>
      </c>
    </row>
    <row r="164" spans="1:11" x14ac:dyDescent="0.25">
      <c r="A164" t="s">
        <v>744</v>
      </c>
      <c r="C164">
        <v>1600</v>
      </c>
      <c r="D164">
        <v>2905028024</v>
      </c>
      <c r="E164" t="s">
        <v>619</v>
      </c>
      <c r="G164" s="10">
        <v>1657557</v>
      </c>
      <c r="I164">
        <v>0</v>
      </c>
      <c r="K164" s="10">
        <f t="shared" si="2"/>
        <v>1657557</v>
      </c>
    </row>
    <row r="165" spans="1:11" x14ac:dyDescent="0.25">
      <c r="A165" t="s">
        <v>745</v>
      </c>
      <c r="C165">
        <v>1600</v>
      </c>
      <c r="D165">
        <v>2905028014</v>
      </c>
      <c r="E165" t="s">
        <v>62</v>
      </c>
      <c r="G165">
        <v>0</v>
      </c>
      <c r="I165" s="10">
        <v>1693388.07</v>
      </c>
      <c r="K165" s="10">
        <f t="shared" si="2"/>
        <v>-1693388.07</v>
      </c>
    </row>
    <row r="166" spans="1:11" x14ac:dyDescent="0.25">
      <c r="A166" t="s">
        <v>746</v>
      </c>
      <c r="C166">
        <v>1600</v>
      </c>
      <c r="D166">
        <v>1301080022</v>
      </c>
      <c r="E166" t="s">
        <v>28</v>
      </c>
      <c r="G166">
        <v>0</v>
      </c>
      <c r="I166">
        <v>0</v>
      </c>
      <c r="K166" s="10">
        <f t="shared" si="2"/>
        <v>0</v>
      </c>
    </row>
    <row r="167" spans="1:11" x14ac:dyDescent="0.25">
      <c r="A167" t="s">
        <v>747</v>
      </c>
      <c r="C167">
        <v>1600</v>
      </c>
      <c r="D167">
        <v>1301080020</v>
      </c>
      <c r="E167" t="s">
        <v>259</v>
      </c>
      <c r="G167" s="10">
        <v>15106.19</v>
      </c>
      <c r="I167">
        <v>0</v>
      </c>
      <c r="K167" s="10">
        <f t="shared" si="2"/>
        <v>15106.19</v>
      </c>
    </row>
    <row r="168" spans="1:11" x14ac:dyDescent="0.25">
      <c r="A168" t="s">
        <v>401</v>
      </c>
      <c r="C168">
        <v>1600</v>
      </c>
      <c r="D168">
        <v>2905010001</v>
      </c>
      <c r="E168" t="s">
        <v>16</v>
      </c>
      <c r="G168">
        <v>0</v>
      </c>
      <c r="I168">
        <v>0</v>
      </c>
      <c r="K168" s="10">
        <f t="shared" si="2"/>
        <v>0</v>
      </c>
    </row>
    <row r="169" spans="1:11" x14ac:dyDescent="0.25">
      <c r="A169" t="s">
        <v>748</v>
      </c>
      <c r="C169">
        <v>1600</v>
      </c>
      <c r="D169">
        <v>2905028001</v>
      </c>
      <c r="E169" t="s">
        <v>72</v>
      </c>
      <c r="G169">
        <v>0</v>
      </c>
      <c r="I169" s="10">
        <v>3750</v>
      </c>
      <c r="K169" s="10">
        <f t="shared" si="2"/>
        <v>-3750</v>
      </c>
    </row>
    <row r="170" spans="1:11" x14ac:dyDescent="0.25">
      <c r="A170" t="s">
        <v>749</v>
      </c>
      <c r="C170">
        <v>1600</v>
      </c>
      <c r="D170">
        <v>1301120008</v>
      </c>
      <c r="E170" t="s">
        <v>750</v>
      </c>
      <c r="G170">
        <v>0</v>
      </c>
      <c r="I170">
        <v>0</v>
      </c>
      <c r="K170" s="10">
        <f t="shared" si="2"/>
        <v>0</v>
      </c>
    </row>
    <row r="171" spans="1:11" x14ac:dyDescent="0.25">
      <c r="A171" t="s">
        <v>751</v>
      </c>
      <c r="C171">
        <v>1600</v>
      </c>
      <c r="D171">
        <v>1301190005</v>
      </c>
      <c r="E171" t="s">
        <v>752</v>
      </c>
      <c r="G171">
        <v>0</v>
      </c>
      <c r="I171">
        <v>0.47</v>
      </c>
      <c r="K171" s="10">
        <f t="shared" si="2"/>
        <v>-0.47</v>
      </c>
    </row>
    <row r="172" spans="1:11" x14ac:dyDescent="0.25">
      <c r="A172" t="s">
        <v>753</v>
      </c>
      <c r="C172">
        <v>1800</v>
      </c>
      <c r="D172">
        <v>1301110001</v>
      </c>
      <c r="E172" t="s">
        <v>12</v>
      </c>
      <c r="G172" s="10">
        <v>175371.92</v>
      </c>
      <c r="I172">
        <v>0</v>
      </c>
      <c r="K172" s="10">
        <f t="shared" si="2"/>
        <v>175371.92</v>
      </c>
    </row>
    <row r="173" spans="1:11" x14ac:dyDescent="0.25">
      <c r="A173" t="s">
        <v>754</v>
      </c>
      <c r="C173">
        <v>1800</v>
      </c>
      <c r="D173">
        <v>2905028030</v>
      </c>
      <c r="E173" t="s">
        <v>755</v>
      </c>
      <c r="G173">
        <v>0</v>
      </c>
      <c r="I173" s="10">
        <v>143063.26</v>
      </c>
      <c r="K173" s="10">
        <f t="shared" si="2"/>
        <v>-143063.26</v>
      </c>
    </row>
    <row r="174" spans="1:11" x14ac:dyDescent="0.25">
      <c r="A174" t="s">
        <v>756</v>
      </c>
      <c r="C174">
        <v>1800</v>
      </c>
      <c r="D174">
        <v>2905028024</v>
      </c>
      <c r="E174" t="s">
        <v>619</v>
      </c>
      <c r="G174">
        <v>0</v>
      </c>
      <c r="I174" s="10">
        <v>42000</v>
      </c>
      <c r="K174" s="10">
        <f t="shared" si="2"/>
        <v>-42000</v>
      </c>
    </row>
    <row r="175" spans="1:11" x14ac:dyDescent="0.25">
      <c r="A175" t="s">
        <v>189</v>
      </c>
      <c r="C175">
        <v>1800</v>
      </c>
      <c r="D175">
        <v>2905028014</v>
      </c>
      <c r="E175" t="s">
        <v>62</v>
      </c>
      <c r="G175">
        <v>0</v>
      </c>
      <c r="I175" s="10">
        <v>57536.34</v>
      </c>
      <c r="K175" s="10">
        <f t="shared" si="2"/>
        <v>-57536.34</v>
      </c>
    </row>
    <row r="176" spans="1:11" x14ac:dyDescent="0.25">
      <c r="A176" t="s">
        <v>757</v>
      </c>
      <c r="C176">
        <v>1800</v>
      </c>
      <c r="D176">
        <v>1301080035</v>
      </c>
      <c r="E176" t="s">
        <v>758</v>
      </c>
      <c r="G176" s="10">
        <v>160864.51999999999</v>
      </c>
      <c r="I176">
        <v>0</v>
      </c>
      <c r="K176" s="10">
        <f t="shared" si="2"/>
        <v>160864.51999999999</v>
      </c>
    </row>
    <row r="177" spans="1:11" x14ac:dyDescent="0.25">
      <c r="A177" t="s">
        <v>194</v>
      </c>
      <c r="C177">
        <v>1800</v>
      </c>
      <c r="D177">
        <v>1301080020</v>
      </c>
      <c r="E177" t="s">
        <v>259</v>
      </c>
      <c r="G177">
        <v>0</v>
      </c>
      <c r="I177">
        <v>0</v>
      </c>
      <c r="K177" s="10">
        <f t="shared" si="2"/>
        <v>0</v>
      </c>
    </row>
    <row r="178" spans="1:11" x14ac:dyDescent="0.25">
      <c r="A178" t="s">
        <v>759</v>
      </c>
      <c r="C178">
        <v>1800</v>
      </c>
      <c r="D178">
        <v>1301080026</v>
      </c>
      <c r="E178" t="s">
        <v>249</v>
      </c>
      <c r="G178" s="10">
        <v>20000</v>
      </c>
      <c r="I178">
        <v>0</v>
      </c>
      <c r="K178" s="10">
        <f t="shared" si="2"/>
        <v>20000</v>
      </c>
    </row>
    <row r="179" spans="1:11" x14ac:dyDescent="0.25">
      <c r="A179" t="s">
        <v>760</v>
      </c>
      <c r="C179">
        <v>1800</v>
      </c>
      <c r="D179">
        <v>2905010001</v>
      </c>
      <c r="E179" t="s">
        <v>16</v>
      </c>
      <c r="G179">
        <v>0</v>
      </c>
      <c r="I179" s="10">
        <v>50719.5</v>
      </c>
      <c r="K179" s="10">
        <f t="shared" si="2"/>
        <v>-50719.5</v>
      </c>
    </row>
    <row r="180" spans="1:11" x14ac:dyDescent="0.25">
      <c r="A180" t="s">
        <v>423</v>
      </c>
      <c r="C180">
        <v>1810</v>
      </c>
      <c r="D180">
        <v>1301110001</v>
      </c>
      <c r="E180" t="s">
        <v>12</v>
      </c>
      <c r="G180">
        <v>0</v>
      </c>
      <c r="I180">
        <v>0</v>
      </c>
      <c r="K180" s="10">
        <f t="shared" si="2"/>
        <v>0</v>
      </c>
    </row>
    <row r="181" spans="1:11" x14ac:dyDescent="0.25">
      <c r="A181" t="s">
        <v>443</v>
      </c>
      <c r="C181">
        <v>1810</v>
      </c>
      <c r="D181">
        <v>2905028014</v>
      </c>
      <c r="E181" t="s">
        <v>62</v>
      </c>
      <c r="G181">
        <v>0</v>
      </c>
      <c r="I181">
        <v>0</v>
      </c>
      <c r="K181" s="10">
        <f t="shared" si="2"/>
        <v>0</v>
      </c>
    </row>
    <row r="182" spans="1:11" x14ac:dyDescent="0.25">
      <c r="A182" t="s">
        <v>436</v>
      </c>
      <c r="C182">
        <v>1820</v>
      </c>
      <c r="D182">
        <v>1301110001</v>
      </c>
      <c r="E182" t="s">
        <v>12</v>
      </c>
      <c r="G182">
        <v>0</v>
      </c>
      <c r="I182">
        <v>0</v>
      </c>
      <c r="K182" s="10">
        <f t="shared" si="2"/>
        <v>0</v>
      </c>
    </row>
    <row r="183" spans="1:11" x14ac:dyDescent="0.25">
      <c r="A183" t="s">
        <v>452</v>
      </c>
      <c r="C183">
        <v>1820</v>
      </c>
      <c r="D183">
        <v>2905028014</v>
      </c>
      <c r="E183" t="s">
        <v>62</v>
      </c>
      <c r="G183">
        <v>0</v>
      </c>
      <c r="I183">
        <v>0</v>
      </c>
      <c r="K183" s="10">
        <f t="shared" si="2"/>
        <v>0</v>
      </c>
    </row>
    <row r="184" spans="1:11" x14ac:dyDescent="0.25">
      <c r="A184" t="s">
        <v>433</v>
      </c>
      <c r="C184">
        <v>1820</v>
      </c>
      <c r="D184">
        <v>2905010001</v>
      </c>
      <c r="E184" t="s">
        <v>16</v>
      </c>
      <c r="G184">
        <v>0</v>
      </c>
      <c r="I184">
        <v>0</v>
      </c>
      <c r="K184" s="10">
        <f t="shared" si="2"/>
        <v>0</v>
      </c>
    </row>
    <row r="185" spans="1:11" x14ac:dyDescent="0.25">
      <c r="A185" t="s">
        <v>303</v>
      </c>
      <c r="C185">
        <v>1825</v>
      </c>
      <c r="D185">
        <v>2905010001</v>
      </c>
      <c r="E185" t="s">
        <v>16</v>
      </c>
      <c r="G185">
        <v>0</v>
      </c>
      <c r="I185">
        <v>0</v>
      </c>
      <c r="K185" s="10">
        <f t="shared" si="2"/>
        <v>0</v>
      </c>
    </row>
    <row r="186" spans="1:11" x14ac:dyDescent="0.25">
      <c r="A186" t="s">
        <v>761</v>
      </c>
      <c r="C186">
        <v>1830</v>
      </c>
      <c r="D186">
        <v>1301110001</v>
      </c>
      <c r="E186" t="s">
        <v>12</v>
      </c>
      <c r="G186">
        <v>609</v>
      </c>
      <c r="I186">
        <v>0</v>
      </c>
      <c r="K186" s="10">
        <f t="shared" si="2"/>
        <v>609</v>
      </c>
    </row>
    <row r="187" spans="1:11" x14ac:dyDescent="0.25">
      <c r="A187" t="s">
        <v>762</v>
      </c>
      <c r="C187">
        <v>1830</v>
      </c>
      <c r="D187">
        <v>2905028018</v>
      </c>
      <c r="E187" t="s">
        <v>196</v>
      </c>
      <c r="G187">
        <v>0</v>
      </c>
      <c r="I187" s="10">
        <v>20000</v>
      </c>
      <c r="K187" s="10">
        <f t="shared" si="2"/>
        <v>-20000</v>
      </c>
    </row>
    <row r="188" spans="1:11" x14ac:dyDescent="0.25">
      <c r="A188" t="s">
        <v>247</v>
      </c>
      <c r="C188">
        <v>1830</v>
      </c>
      <c r="D188">
        <v>2905010001</v>
      </c>
      <c r="E188" t="s">
        <v>16</v>
      </c>
      <c r="G188">
        <v>0</v>
      </c>
      <c r="I188">
        <v>0</v>
      </c>
      <c r="K188" s="10">
        <f t="shared" si="2"/>
        <v>0</v>
      </c>
    </row>
    <row r="189" spans="1:11" x14ac:dyDescent="0.25">
      <c r="A189" t="s">
        <v>763</v>
      </c>
      <c r="C189">
        <v>1840</v>
      </c>
      <c r="D189">
        <v>1301080003</v>
      </c>
      <c r="E189" t="s">
        <v>60</v>
      </c>
      <c r="G189">
        <v>17.170000000000002</v>
      </c>
      <c r="I189">
        <v>0</v>
      </c>
      <c r="K189" s="10">
        <f t="shared" si="2"/>
        <v>17.170000000000002</v>
      </c>
    </row>
    <row r="190" spans="1:11" x14ac:dyDescent="0.25">
      <c r="A190" t="s">
        <v>764</v>
      </c>
      <c r="C190">
        <v>1840</v>
      </c>
      <c r="D190">
        <v>1301110001</v>
      </c>
      <c r="E190" t="s">
        <v>12</v>
      </c>
      <c r="G190" s="10">
        <v>8927.7099999999991</v>
      </c>
      <c r="I190">
        <v>0</v>
      </c>
      <c r="K190" s="10">
        <f t="shared" si="2"/>
        <v>8927.7099999999991</v>
      </c>
    </row>
    <row r="191" spans="1:11" x14ac:dyDescent="0.25">
      <c r="A191" t="s">
        <v>765</v>
      </c>
      <c r="C191">
        <v>1840</v>
      </c>
      <c r="D191">
        <v>2905028015</v>
      </c>
      <c r="E191" t="s">
        <v>82</v>
      </c>
      <c r="G191">
        <v>0</v>
      </c>
      <c r="I191" s="10">
        <v>80249.42</v>
      </c>
      <c r="K191" s="10">
        <f t="shared" si="2"/>
        <v>-80249.42</v>
      </c>
    </row>
    <row r="192" spans="1:11" x14ac:dyDescent="0.25">
      <c r="A192" t="s">
        <v>341</v>
      </c>
      <c r="C192">
        <v>1840</v>
      </c>
      <c r="D192">
        <v>2905028014</v>
      </c>
      <c r="E192" t="s">
        <v>62</v>
      </c>
      <c r="G192">
        <v>0</v>
      </c>
      <c r="I192" s="10">
        <v>63155.9</v>
      </c>
      <c r="K192" s="10">
        <f t="shared" si="2"/>
        <v>-63155.9</v>
      </c>
    </row>
    <row r="193" spans="1:11" x14ac:dyDescent="0.25">
      <c r="A193" t="s">
        <v>766</v>
      </c>
      <c r="C193">
        <v>1840</v>
      </c>
      <c r="D193">
        <v>1301080018</v>
      </c>
      <c r="E193" t="s">
        <v>191</v>
      </c>
      <c r="G193" s="10">
        <v>42000</v>
      </c>
      <c r="I193">
        <v>0</v>
      </c>
      <c r="K193" s="10">
        <f t="shared" si="2"/>
        <v>42000</v>
      </c>
    </row>
    <row r="194" spans="1:11" x14ac:dyDescent="0.25">
      <c r="A194" t="s">
        <v>344</v>
      </c>
      <c r="C194">
        <v>1840</v>
      </c>
      <c r="D194">
        <v>1301080020</v>
      </c>
      <c r="E194" t="s">
        <v>259</v>
      </c>
      <c r="G194">
        <v>9.44</v>
      </c>
      <c r="I194">
        <v>0</v>
      </c>
      <c r="K194" s="10">
        <f t="shared" si="2"/>
        <v>9.44</v>
      </c>
    </row>
    <row r="195" spans="1:11" x14ac:dyDescent="0.25">
      <c r="A195" t="s">
        <v>767</v>
      </c>
      <c r="C195">
        <v>1840</v>
      </c>
      <c r="D195">
        <v>1301080029</v>
      </c>
      <c r="E195" t="s">
        <v>254</v>
      </c>
      <c r="G195">
        <v>0</v>
      </c>
      <c r="I195">
        <v>0</v>
      </c>
      <c r="K195" s="10">
        <f t="shared" si="2"/>
        <v>0</v>
      </c>
    </row>
    <row r="196" spans="1:11" x14ac:dyDescent="0.25">
      <c r="A196" t="s">
        <v>768</v>
      </c>
      <c r="C196">
        <v>1840</v>
      </c>
      <c r="D196">
        <v>1301080021</v>
      </c>
      <c r="E196" t="s">
        <v>88</v>
      </c>
      <c r="G196">
        <v>61.38</v>
      </c>
      <c r="I196">
        <v>0</v>
      </c>
      <c r="K196" s="10">
        <f t="shared" si="2"/>
        <v>61.38</v>
      </c>
    </row>
    <row r="197" spans="1:11" x14ac:dyDescent="0.25">
      <c r="A197" t="s">
        <v>769</v>
      </c>
      <c r="C197">
        <v>1840</v>
      </c>
      <c r="D197">
        <v>2905028008</v>
      </c>
      <c r="E197" t="s">
        <v>632</v>
      </c>
      <c r="G197">
        <v>0</v>
      </c>
      <c r="I197" s="10">
        <v>1632.56</v>
      </c>
      <c r="K197" s="10">
        <f t="shared" si="2"/>
        <v>-1632.56</v>
      </c>
    </row>
    <row r="198" spans="1:11" x14ac:dyDescent="0.25">
      <c r="A198" t="s">
        <v>252</v>
      </c>
      <c r="C198">
        <v>1840</v>
      </c>
      <c r="D198">
        <v>2905010001</v>
      </c>
      <c r="E198" t="s">
        <v>16</v>
      </c>
      <c r="G198">
        <v>0</v>
      </c>
      <c r="I198" s="10">
        <v>9701.39</v>
      </c>
      <c r="K198" s="10">
        <f t="shared" si="2"/>
        <v>-9701.39</v>
      </c>
    </row>
    <row r="199" spans="1:11" x14ac:dyDescent="0.25">
      <c r="A199" t="s">
        <v>770</v>
      </c>
      <c r="C199">
        <v>1840</v>
      </c>
      <c r="D199">
        <v>2905028001</v>
      </c>
      <c r="E199" t="s">
        <v>72</v>
      </c>
      <c r="G199">
        <v>0</v>
      </c>
      <c r="I199" s="10">
        <v>2771</v>
      </c>
      <c r="K199" s="10">
        <f t="shared" ref="K199:K262" si="3">G199-I199</f>
        <v>-2771</v>
      </c>
    </row>
    <row r="200" spans="1:11" x14ac:dyDescent="0.25">
      <c r="A200" t="s">
        <v>235</v>
      </c>
      <c r="C200">
        <v>1860</v>
      </c>
      <c r="D200">
        <v>1301110001</v>
      </c>
      <c r="E200" t="s">
        <v>12</v>
      </c>
      <c r="G200">
        <v>0</v>
      </c>
      <c r="I200">
        <v>0</v>
      </c>
      <c r="K200" s="10">
        <f t="shared" si="3"/>
        <v>0</v>
      </c>
    </row>
    <row r="201" spans="1:11" x14ac:dyDescent="0.25">
      <c r="A201" t="s">
        <v>262</v>
      </c>
      <c r="C201">
        <v>1860</v>
      </c>
      <c r="D201">
        <v>2905028014</v>
      </c>
      <c r="E201" t="s">
        <v>62</v>
      </c>
      <c r="G201">
        <v>0</v>
      </c>
      <c r="I201">
        <v>860.95</v>
      </c>
      <c r="K201" s="10">
        <f t="shared" si="3"/>
        <v>-860.95</v>
      </c>
    </row>
    <row r="202" spans="1:11" x14ac:dyDescent="0.25">
      <c r="A202" t="s">
        <v>258</v>
      </c>
      <c r="C202">
        <v>1860</v>
      </c>
      <c r="D202">
        <v>1301080020</v>
      </c>
      <c r="E202" t="s">
        <v>259</v>
      </c>
      <c r="G202">
        <v>0</v>
      </c>
      <c r="I202">
        <v>0</v>
      </c>
      <c r="K202" s="10">
        <f t="shared" si="3"/>
        <v>0</v>
      </c>
    </row>
    <row r="203" spans="1:11" x14ac:dyDescent="0.25">
      <c r="A203" t="s">
        <v>238</v>
      </c>
      <c r="C203">
        <v>1860</v>
      </c>
      <c r="D203">
        <v>2905010001</v>
      </c>
      <c r="E203" t="s">
        <v>16</v>
      </c>
      <c r="G203">
        <v>0</v>
      </c>
      <c r="I203">
        <v>0</v>
      </c>
      <c r="K203" s="10">
        <f t="shared" si="3"/>
        <v>0</v>
      </c>
    </row>
    <row r="204" spans="1:11" x14ac:dyDescent="0.25">
      <c r="A204" t="s">
        <v>771</v>
      </c>
      <c r="C204">
        <v>1870</v>
      </c>
      <c r="D204">
        <v>1301113100</v>
      </c>
      <c r="E204" t="s">
        <v>601</v>
      </c>
      <c r="G204">
        <v>0</v>
      </c>
      <c r="I204">
        <v>0</v>
      </c>
      <c r="K204" s="10">
        <f t="shared" si="3"/>
        <v>0</v>
      </c>
    </row>
    <row r="205" spans="1:11" x14ac:dyDescent="0.25">
      <c r="A205" t="s">
        <v>772</v>
      </c>
      <c r="C205">
        <v>1870</v>
      </c>
      <c r="D205">
        <v>1301080036</v>
      </c>
      <c r="E205" t="s">
        <v>773</v>
      </c>
      <c r="G205">
        <v>0</v>
      </c>
      <c r="I205">
        <v>0</v>
      </c>
      <c r="K205" s="10">
        <f t="shared" si="3"/>
        <v>0</v>
      </c>
    </row>
    <row r="206" spans="1:11" x14ac:dyDescent="0.25">
      <c r="A206" t="s">
        <v>774</v>
      </c>
      <c r="C206">
        <v>1871</v>
      </c>
      <c r="D206">
        <v>1301113100</v>
      </c>
      <c r="E206" t="s">
        <v>601</v>
      </c>
      <c r="G206">
        <v>0</v>
      </c>
      <c r="I206">
        <v>0</v>
      </c>
      <c r="K206" s="10">
        <f t="shared" si="3"/>
        <v>0</v>
      </c>
    </row>
    <row r="207" spans="1:11" x14ac:dyDescent="0.25">
      <c r="A207" t="s">
        <v>775</v>
      </c>
      <c r="C207">
        <v>1871</v>
      </c>
      <c r="D207">
        <v>1301080035</v>
      </c>
      <c r="E207" t="s">
        <v>758</v>
      </c>
      <c r="G207">
        <v>0</v>
      </c>
      <c r="I207">
        <v>0</v>
      </c>
      <c r="K207" s="10">
        <f t="shared" si="3"/>
        <v>0</v>
      </c>
    </row>
    <row r="208" spans="1:11" x14ac:dyDescent="0.25">
      <c r="A208" t="s">
        <v>174</v>
      </c>
      <c r="C208">
        <v>2200</v>
      </c>
      <c r="D208">
        <v>1301080004</v>
      </c>
      <c r="E208" t="s">
        <v>78</v>
      </c>
      <c r="G208" s="10">
        <v>171804.95</v>
      </c>
      <c r="I208">
        <v>0</v>
      </c>
      <c r="K208" s="10">
        <f t="shared" si="3"/>
        <v>171804.95</v>
      </c>
    </row>
    <row r="209" spans="1:11" x14ac:dyDescent="0.25">
      <c r="A209" t="s">
        <v>776</v>
      </c>
      <c r="C209">
        <v>2200</v>
      </c>
      <c r="D209">
        <v>1301120003</v>
      </c>
      <c r="E209" t="s">
        <v>657</v>
      </c>
      <c r="G209">
        <v>66.88</v>
      </c>
      <c r="I209">
        <v>0</v>
      </c>
      <c r="K209" s="10">
        <f t="shared" si="3"/>
        <v>66.88</v>
      </c>
    </row>
    <row r="210" spans="1:11" x14ac:dyDescent="0.25">
      <c r="A210" t="s">
        <v>53</v>
      </c>
      <c r="C210">
        <v>2200</v>
      </c>
      <c r="D210">
        <v>1301110001</v>
      </c>
      <c r="E210" t="s">
        <v>12</v>
      </c>
      <c r="G210" s="10">
        <v>122815.64</v>
      </c>
      <c r="I210">
        <v>0</v>
      </c>
      <c r="K210" s="10">
        <f t="shared" si="3"/>
        <v>122815.64</v>
      </c>
    </row>
    <row r="211" spans="1:11" x14ac:dyDescent="0.25">
      <c r="A211" t="s">
        <v>132</v>
      </c>
      <c r="C211">
        <v>2200</v>
      </c>
      <c r="D211">
        <v>1301110004</v>
      </c>
      <c r="E211" t="s">
        <v>48</v>
      </c>
      <c r="G211">
        <v>0</v>
      </c>
      <c r="I211" s="10">
        <v>3013.76</v>
      </c>
      <c r="K211" s="10">
        <f t="shared" si="3"/>
        <v>-3013.76</v>
      </c>
    </row>
    <row r="212" spans="1:11" x14ac:dyDescent="0.25">
      <c r="A212" t="s">
        <v>157</v>
      </c>
      <c r="C212">
        <v>2200</v>
      </c>
      <c r="D212">
        <v>2905028016</v>
      </c>
      <c r="E212" t="s">
        <v>22</v>
      </c>
      <c r="G212">
        <v>0</v>
      </c>
      <c r="I212" s="10">
        <v>38287.9</v>
      </c>
      <c r="K212" s="10">
        <f t="shared" si="3"/>
        <v>-38287.9</v>
      </c>
    </row>
    <row r="213" spans="1:11" x14ac:dyDescent="0.25">
      <c r="A213" t="s">
        <v>367</v>
      </c>
      <c r="C213">
        <v>2200</v>
      </c>
      <c r="D213">
        <v>2905028028</v>
      </c>
      <c r="E213" t="s">
        <v>617</v>
      </c>
      <c r="G213">
        <v>0</v>
      </c>
      <c r="I213">
        <v>0</v>
      </c>
      <c r="K213" s="10">
        <f t="shared" si="3"/>
        <v>0</v>
      </c>
    </row>
    <row r="214" spans="1:11" x14ac:dyDescent="0.25">
      <c r="A214" t="s">
        <v>777</v>
      </c>
      <c r="C214">
        <v>2200</v>
      </c>
      <c r="D214">
        <v>2905028024</v>
      </c>
      <c r="E214" t="s">
        <v>619</v>
      </c>
      <c r="G214">
        <v>0</v>
      </c>
      <c r="I214">
        <v>17.170000000000002</v>
      </c>
      <c r="K214" s="10">
        <f t="shared" si="3"/>
        <v>-17.170000000000002</v>
      </c>
    </row>
    <row r="215" spans="1:11" x14ac:dyDescent="0.25">
      <c r="A215" t="s">
        <v>274</v>
      </c>
      <c r="C215">
        <v>2200</v>
      </c>
      <c r="D215">
        <v>2905028015</v>
      </c>
      <c r="E215" t="s">
        <v>82</v>
      </c>
      <c r="G215">
        <v>0</v>
      </c>
      <c r="I215" s="10">
        <v>18774</v>
      </c>
      <c r="K215" s="10">
        <f t="shared" si="3"/>
        <v>-18774</v>
      </c>
    </row>
    <row r="216" spans="1:11" x14ac:dyDescent="0.25">
      <c r="A216" t="s">
        <v>161</v>
      </c>
      <c r="C216">
        <v>2200</v>
      </c>
      <c r="D216">
        <v>2905028014</v>
      </c>
      <c r="E216" t="s">
        <v>62</v>
      </c>
      <c r="G216">
        <v>0</v>
      </c>
      <c r="I216" s="10">
        <v>4840848.57</v>
      </c>
      <c r="K216" s="10">
        <f t="shared" si="3"/>
        <v>-4840848.57</v>
      </c>
    </row>
    <row r="217" spans="1:11" x14ac:dyDescent="0.25">
      <c r="A217" t="s">
        <v>778</v>
      </c>
      <c r="C217">
        <v>2200</v>
      </c>
      <c r="D217">
        <v>1301080022</v>
      </c>
      <c r="E217" t="s">
        <v>28</v>
      </c>
      <c r="G217" s="10">
        <v>26139.08</v>
      </c>
      <c r="I217">
        <v>0</v>
      </c>
      <c r="K217" s="10">
        <f t="shared" si="3"/>
        <v>26139.08</v>
      </c>
    </row>
    <row r="218" spans="1:11" x14ac:dyDescent="0.25">
      <c r="A218" t="s">
        <v>166</v>
      </c>
      <c r="C218">
        <v>2200</v>
      </c>
      <c r="D218">
        <v>1301080020</v>
      </c>
      <c r="E218" t="s">
        <v>259</v>
      </c>
      <c r="G218" s="10">
        <v>1722144.86</v>
      </c>
      <c r="I218">
        <v>0</v>
      </c>
      <c r="K218" s="10">
        <f t="shared" si="3"/>
        <v>1722144.86</v>
      </c>
    </row>
    <row r="219" spans="1:11" x14ac:dyDescent="0.25">
      <c r="A219" t="s">
        <v>372</v>
      </c>
      <c r="C219">
        <v>2200</v>
      </c>
      <c r="D219">
        <v>1301080033</v>
      </c>
      <c r="E219" t="s">
        <v>623</v>
      </c>
      <c r="G219">
        <v>0</v>
      </c>
      <c r="I219">
        <v>0</v>
      </c>
      <c r="K219" s="10">
        <f t="shared" si="3"/>
        <v>0</v>
      </c>
    </row>
    <row r="220" spans="1:11" x14ac:dyDescent="0.25">
      <c r="A220" t="s">
        <v>280</v>
      </c>
      <c r="C220">
        <v>2200</v>
      </c>
      <c r="D220">
        <v>1301080021</v>
      </c>
      <c r="E220" t="s">
        <v>88</v>
      </c>
      <c r="G220">
        <v>0</v>
      </c>
      <c r="I220">
        <v>0</v>
      </c>
      <c r="K220" s="10">
        <f t="shared" si="3"/>
        <v>0</v>
      </c>
    </row>
    <row r="221" spans="1:11" x14ac:dyDescent="0.25">
      <c r="A221" t="s">
        <v>779</v>
      </c>
      <c r="C221">
        <v>2200</v>
      </c>
      <c r="D221">
        <v>2905028008</v>
      </c>
      <c r="E221" t="s">
        <v>632</v>
      </c>
      <c r="G221">
        <v>0</v>
      </c>
      <c r="I221" s="10">
        <v>23488.39</v>
      </c>
      <c r="K221" s="10">
        <f t="shared" si="3"/>
        <v>-23488.39</v>
      </c>
    </row>
    <row r="222" spans="1:11" x14ac:dyDescent="0.25">
      <c r="A222" t="s">
        <v>56</v>
      </c>
      <c r="C222">
        <v>2200</v>
      </c>
      <c r="D222">
        <v>2905010001</v>
      </c>
      <c r="E222" t="s">
        <v>16</v>
      </c>
      <c r="G222">
        <v>0</v>
      </c>
      <c r="I222" s="10">
        <v>191777.97</v>
      </c>
      <c r="K222" s="10">
        <f t="shared" si="3"/>
        <v>-191777.97</v>
      </c>
    </row>
    <row r="223" spans="1:11" x14ac:dyDescent="0.25">
      <c r="A223" t="s">
        <v>780</v>
      </c>
      <c r="C223">
        <v>2200</v>
      </c>
      <c r="D223">
        <v>2905028035</v>
      </c>
      <c r="E223" t="s">
        <v>643</v>
      </c>
      <c r="G223">
        <v>0</v>
      </c>
      <c r="I223">
        <v>15.28</v>
      </c>
      <c r="K223" s="10">
        <f t="shared" si="3"/>
        <v>-15.28</v>
      </c>
    </row>
    <row r="224" spans="1:11" x14ac:dyDescent="0.25">
      <c r="A224" t="s">
        <v>169</v>
      </c>
      <c r="C224">
        <v>2200</v>
      </c>
      <c r="D224">
        <v>2905028001</v>
      </c>
      <c r="E224" t="s">
        <v>72</v>
      </c>
      <c r="G224">
        <v>0</v>
      </c>
      <c r="I224" s="10">
        <v>44240.47</v>
      </c>
      <c r="K224" s="10">
        <f t="shared" si="3"/>
        <v>-44240.47</v>
      </c>
    </row>
    <row r="225" spans="1:11" x14ac:dyDescent="0.25">
      <c r="A225" t="s">
        <v>467</v>
      </c>
      <c r="C225">
        <v>2200</v>
      </c>
      <c r="D225">
        <v>2905036005</v>
      </c>
      <c r="E225" t="s">
        <v>781</v>
      </c>
      <c r="G225">
        <v>0</v>
      </c>
      <c r="I225">
        <v>0</v>
      </c>
      <c r="K225" s="10">
        <f t="shared" si="3"/>
        <v>0</v>
      </c>
    </row>
    <row r="226" spans="1:11" x14ac:dyDescent="0.25">
      <c r="A226" t="s">
        <v>477</v>
      </c>
      <c r="C226">
        <v>2200</v>
      </c>
      <c r="D226">
        <v>2905036004</v>
      </c>
      <c r="E226" t="s">
        <v>782</v>
      </c>
      <c r="G226">
        <v>0</v>
      </c>
      <c r="I226">
        <v>0.41</v>
      </c>
      <c r="K226" s="10">
        <f t="shared" si="3"/>
        <v>-0.41</v>
      </c>
    </row>
    <row r="227" spans="1:11" x14ac:dyDescent="0.25">
      <c r="A227" t="s">
        <v>783</v>
      </c>
      <c r="C227">
        <v>2200</v>
      </c>
      <c r="D227">
        <v>1301110009</v>
      </c>
      <c r="E227" t="s">
        <v>143</v>
      </c>
      <c r="G227">
        <v>0</v>
      </c>
      <c r="I227">
        <v>0</v>
      </c>
      <c r="K227" s="10">
        <f t="shared" si="3"/>
        <v>0</v>
      </c>
    </row>
    <row r="228" spans="1:11" x14ac:dyDescent="0.25">
      <c r="A228" t="s">
        <v>459</v>
      </c>
      <c r="C228">
        <v>2200</v>
      </c>
      <c r="D228">
        <v>1301180005</v>
      </c>
      <c r="E228" t="s">
        <v>784</v>
      </c>
      <c r="G228">
        <v>0</v>
      </c>
      <c r="I228">
        <v>0</v>
      </c>
      <c r="K228" s="10">
        <f t="shared" si="3"/>
        <v>0</v>
      </c>
    </row>
    <row r="229" spans="1:11" x14ac:dyDescent="0.25">
      <c r="A229" t="s">
        <v>471</v>
      </c>
      <c r="C229">
        <v>2200</v>
      </c>
      <c r="D229">
        <v>1301180004</v>
      </c>
      <c r="E229" t="s">
        <v>785</v>
      </c>
      <c r="G229" s="10">
        <v>46869.599999999999</v>
      </c>
      <c r="I229">
        <v>0</v>
      </c>
      <c r="K229" s="10">
        <f t="shared" si="3"/>
        <v>46869.599999999999</v>
      </c>
    </row>
    <row r="230" spans="1:11" x14ac:dyDescent="0.25">
      <c r="A230" t="s">
        <v>786</v>
      </c>
      <c r="C230">
        <v>2200</v>
      </c>
      <c r="D230">
        <v>1301190006</v>
      </c>
      <c r="E230" t="s">
        <v>787</v>
      </c>
      <c r="G230">
        <v>0</v>
      </c>
      <c r="I230">
        <v>0</v>
      </c>
      <c r="K230" s="10">
        <f t="shared" si="3"/>
        <v>0</v>
      </c>
    </row>
    <row r="231" spans="1:11" x14ac:dyDescent="0.25">
      <c r="A231" t="s">
        <v>788</v>
      </c>
      <c r="C231">
        <v>2200</v>
      </c>
      <c r="D231">
        <v>1301190011</v>
      </c>
      <c r="E231" t="s">
        <v>789</v>
      </c>
      <c r="G231" s="10">
        <v>607000</v>
      </c>
      <c r="I231">
        <v>0</v>
      </c>
      <c r="K231" s="10">
        <f t="shared" si="3"/>
        <v>607000</v>
      </c>
    </row>
    <row r="232" spans="1:11" x14ac:dyDescent="0.25">
      <c r="A232" t="s">
        <v>790</v>
      </c>
      <c r="C232">
        <v>2300</v>
      </c>
      <c r="D232">
        <v>1301080020</v>
      </c>
      <c r="E232" t="s">
        <v>259</v>
      </c>
      <c r="G232">
        <v>0</v>
      </c>
      <c r="I232" s="10">
        <v>28294181.27</v>
      </c>
      <c r="K232" s="10">
        <f t="shared" si="3"/>
        <v>-28294181.27</v>
      </c>
    </row>
    <row r="233" spans="1:11" x14ac:dyDescent="0.25">
      <c r="A233" t="s">
        <v>791</v>
      </c>
      <c r="C233">
        <v>2300</v>
      </c>
      <c r="D233">
        <v>2905021009</v>
      </c>
      <c r="E233" t="s">
        <v>792</v>
      </c>
      <c r="G233" s="10">
        <v>49025422.479999997</v>
      </c>
      <c r="I233">
        <v>0</v>
      </c>
      <c r="K233" s="10">
        <f t="shared" si="3"/>
        <v>49025422.479999997</v>
      </c>
    </row>
    <row r="234" spans="1:11" x14ac:dyDescent="0.25">
      <c r="A234" t="s">
        <v>793</v>
      </c>
      <c r="C234">
        <v>2400</v>
      </c>
      <c r="D234">
        <v>1301190019</v>
      </c>
      <c r="E234" t="s">
        <v>794</v>
      </c>
      <c r="G234">
        <v>0</v>
      </c>
      <c r="I234">
        <v>0</v>
      </c>
      <c r="K234" s="10">
        <f t="shared" si="3"/>
        <v>0</v>
      </c>
    </row>
    <row r="235" spans="1:11" x14ac:dyDescent="0.25">
      <c r="A235" t="s">
        <v>795</v>
      </c>
      <c r="C235">
        <v>2400</v>
      </c>
      <c r="D235">
        <v>1301190012</v>
      </c>
      <c r="E235" t="s">
        <v>796</v>
      </c>
      <c r="G235" s="10">
        <v>25755.7</v>
      </c>
      <c r="I235">
        <v>0</v>
      </c>
      <c r="K235" s="10">
        <f t="shared" si="3"/>
        <v>25755.7</v>
      </c>
    </row>
    <row r="236" spans="1:11" x14ac:dyDescent="0.25">
      <c r="A236" t="s">
        <v>797</v>
      </c>
      <c r="C236">
        <v>2400</v>
      </c>
      <c r="D236">
        <v>1301190205</v>
      </c>
      <c r="E236" t="s">
        <v>798</v>
      </c>
      <c r="G236">
        <v>0</v>
      </c>
      <c r="I236">
        <v>0</v>
      </c>
      <c r="K236" s="10">
        <f t="shared" si="3"/>
        <v>0</v>
      </c>
    </row>
    <row r="237" spans="1:11" x14ac:dyDescent="0.25">
      <c r="A237" t="s">
        <v>799</v>
      </c>
      <c r="C237">
        <v>2400</v>
      </c>
      <c r="D237">
        <v>1301113100</v>
      </c>
      <c r="E237" t="s">
        <v>601</v>
      </c>
      <c r="G237">
        <v>0</v>
      </c>
      <c r="I237">
        <v>0</v>
      </c>
      <c r="K237" s="10">
        <f t="shared" si="3"/>
        <v>0</v>
      </c>
    </row>
    <row r="238" spans="1:11" x14ac:dyDescent="0.25">
      <c r="A238" t="s">
        <v>800</v>
      </c>
      <c r="C238">
        <v>2400</v>
      </c>
      <c r="D238">
        <v>1301120001</v>
      </c>
      <c r="E238" t="s">
        <v>602</v>
      </c>
      <c r="G238" s="10">
        <v>2280858.9700000002</v>
      </c>
      <c r="I238">
        <v>0</v>
      </c>
      <c r="K238" s="10">
        <f t="shared" si="3"/>
        <v>2280858.9700000002</v>
      </c>
    </row>
    <row r="239" spans="1:11" x14ac:dyDescent="0.25">
      <c r="A239" t="s">
        <v>182</v>
      </c>
      <c r="C239">
        <v>2400</v>
      </c>
      <c r="D239">
        <v>1301080004</v>
      </c>
      <c r="E239" t="s">
        <v>78</v>
      </c>
      <c r="G239" s="10">
        <v>1398577.37</v>
      </c>
      <c r="I239">
        <v>0</v>
      </c>
      <c r="K239" s="10">
        <f t="shared" si="3"/>
        <v>1398577.37</v>
      </c>
    </row>
    <row r="240" spans="1:11" x14ac:dyDescent="0.25">
      <c r="A240" t="s">
        <v>92</v>
      </c>
      <c r="C240">
        <v>2400</v>
      </c>
      <c r="D240">
        <v>1301150001</v>
      </c>
      <c r="E240" t="s">
        <v>18</v>
      </c>
      <c r="G240" s="10">
        <v>69659.5</v>
      </c>
      <c r="I240">
        <v>0</v>
      </c>
      <c r="K240" s="10">
        <f t="shared" si="3"/>
        <v>69659.5</v>
      </c>
    </row>
    <row r="241" spans="1:11" x14ac:dyDescent="0.25">
      <c r="A241" t="s">
        <v>112</v>
      </c>
      <c r="C241">
        <v>2400</v>
      </c>
      <c r="D241">
        <v>1301120004</v>
      </c>
      <c r="E241" t="s">
        <v>38</v>
      </c>
      <c r="G241" s="10">
        <v>13992.87</v>
      </c>
      <c r="I241">
        <v>0</v>
      </c>
      <c r="K241" s="10">
        <f t="shared" si="3"/>
        <v>13992.87</v>
      </c>
    </row>
    <row r="242" spans="1:11" x14ac:dyDescent="0.25">
      <c r="A242" t="s">
        <v>801</v>
      </c>
      <c r="C242">
        <v>2400</v>
      </c>
      <c r="D242">
        <v>1301100001</v>
      </c>
      <c r="E242" t="s">
        <v>607</v>
      </c>
      <c r="G242">
        <v>0</v>
      </c>
      <c r="I242">
        <v>0</v>
      </c>
      <c r="K242" s="10">
        <f t="shared" si="3"/>
        <v>0</v>
      </c>
    </row>
    <row r="243" spans="1:11" x14ac:dyDescent="0.25">
      <c r="A243" t="s">
        <v>162</v>
      </c>
      <c r="C243">
        <v>2400</v>
      </c>
      <c r="D243">
        <v>1301080003</v>
      </c>
      <c r="E243" t="s">
        <v>60</v>
      </c>
      <c r="G243" s="10">
        <v>4840848.57</v>
      </c>
      <c r="I243">
        <v>0</v>
      </c>
      <c r="K243" s="10">
        <f t="shared" si="3"/>
        <v>4840848.57</v>
      </c>
    </row>
    <row r="244" spans="1:11" x14ac:dyDescent="0.25">
      <c r="A244" t="s">
        <v>321</v>
      </c>
      <c r="C244">
        <v>2400</v>
      </c>
      <c r="D244">
        <v>1301080040</v>
      </c>
      <c r="E244" t="s">
        <v>610</v>
      </c>
      <c r="G244" s="10">
        <v>2927508.61</v>
      </c>
      <c r="I244">
        <v>0</v>
      </c>
      <c r="K244" s="10">
        <f t="shared" si="3"/>
        <v>2927508.61</v>
      </c>
    </row>
    <row r="245" spans="1:11" x14ac:dyDescent="0.25">
      <c r="A245" t="s">
        <v>802</v>
      </c>
      <c r="C245">
        <v>2400</v>
      </c>
      <c r="D245">
        <v>1301180002</v>
      </c>
      <c r="E245" t="s">
        <v>612</v>
      </c>
      <c r="G245">
        <v>0</v>
      </c>
      <c r="I245">
        <v>0</v>
      </c>
      <c r="K245" s="10">
        <f t="shared" si="3"/>
        <v>0</v>
      </c>
    </row>
    <row r="246" spans="1:11" x14ac:dyDescent="0.25">
      <c r="A246" t="s">
        <v>803</v>
      </c>
      <c r="C246">
        <v>2400</v>
      </c>
      <c r="D246">
        <v>1301080008</v>
      </c>
      <c r="E246" t="s">
        <v>804</v>
      </c>
      <c r="G246">
        <v>0</v>
      </c>
      <c r="I246" s="10">
        <v>3308.31</v>
      </c>
      <c r="K246" s="10">
        <f t="shared" si="3"/>
        <v>-3308.31</v>
      </c>
    </row>
    <row r="247" spans="1:11" x14ac:dyDescent="0.25">
      <c r="A247" t="s">
        <v>805</v>
      </c>
      <c r="C247">
        <v>2400</v>
      </c>
      <c r="D247">
        <v>1301120003</v>
      </c>
      <c r="E247" t="s">
        <v>657</v>
      </c>
      <c r="G247" s="10">
        <v>5468.64</v>
      </c>
      <c r="I247">
        <v>0</v>
      </c>
      <c r="K247" s="10">
        <f t="shared" si="3"/>
        <v>5468.64</v>
      </c>
    </row>
    <row r="248" spans="1:11" x14ac:dyDescent="0.25">
      <c r="A248" t="s">
        <v>63</v>
      </c>
      <c r="C248">
        <v>2400</v>
      </c>
      <c r="D248">
        <v>1301110001</v>
      </c>
      <c r="E248" t="s">
        <v>12</v>
      </c>
      <c r="G248" s="10">
        <v>3187137.57</v>
      </c>
      <c r="I248">
        <v>0</v>
      </c>
      <c r="K248" s="10">
        <f t="shared" si="3"/>
        <v>3187137.57</v>
      </c>
    </row>
    <row r="249" spans="1:11" x14ac:dyDescent="0.25">
      <c r="A249" t="s">
        <v>211</v>
      </c>
      <c r="C249">
        <v>2400</v>
      </c>
      <c r="D249">
        <v>1301110004</v>
      </c>
      <c r="E249" t="s">
        <v>48</v>
      </c>
      <c r="G249">
        <v>0</v>
      </c>
      <c r="I249">
        <v>0</v>
      </c>
      <c r="K249" s="10">
        <f t="shared" si="3"/>
        <v>0</v>
      </c>
    </row>
    <row r="250" spans="1:11" x14ac:dyDescent="0.25">
      <c r="A250" t="s">
        <v>107</v>
      </c>
      <c r="C250">
        <v>2400</v>
      </c>
      <c r="D250">
        <v>2905028016</v>
      </c>
      <c r="E250" t="s">
        <v>22</v>
      </c>
      <c r="G250">
        <v>0</v>
      </c>
      <c r="I250">
        <v>260.97000000000003</v>
      </c>
      <c r="K250" s="10">
        <f t="shared" si="3"/>
        <v>-260.97000000000003</v>
      </c>
    </row>
    <row r="251" spans="1:11" x14ac:dyDescent="0.25">
      <c r="A251" t="s">
        <v>195</v>
      </c>
      <c r="C251">
        <v>2400</v>
      </c>
      <c r="D251">
        <v>2905028018</v>
      </c>
      <c r="E251" t="s">
        <v>196</v>
      </c>
      <c r="G251">
        <v>0</v>
      </c>
      <c r="I251">
        <v>0</v>
      </c>
      <c r="K251" s="10">
        <f t="shared" si="3"/>
        <v>0</v>
      </c>
    </row>
    <row r="252" spans="1:11" x14ac:dyDescent="0.25">
      <c r="A252" t="s">
        <v>215</v>
      </c>
      <c r="C252">
        <v>2400</v>
      </c>
      <c r="D252">
        <v>2905028028</v>
      </c>
      <c r="E252" t="s">
        <v>617</v>
      </c>
      <c r="G252">
        <v>0</v>
      </c>
      <c r="I252">
        <v>0</v>
      </c>
      <c r="K252" s="10">
        <f t="shared" si="3"/>
        <v>0</v>
      </c>
    </row>
    <row r="253" spans="1:11" x14ac:dyDescent="0.25">
      <c r="A253" t="s">
        <v>345</v>
      </c>
      <c r="C253">
        <v>2400</v>
      </c>
      <c r="D253">
        <v>2905028024</v>
      </c>
      <c r="E253" t="s">
        <v>619</v>
      </c>
      <c r="G253">
        <v>0</v>
      </c>
      <c r="I253">
        <v>9.44</v>
      </c>
      <c r="K253" s="10">
        <f t="shared" si="3"/>
        <v>-9.44</v>
      </c>
    </row>
    <row r="254" spans="1:11" x14ac:dyDescent="0.25">
      <c r="A254" t="s">
        <v>257</v>
      </c>
      <c r="C254">
        <v>2400</v>
      </c>
      <c r="D254">
        <v>2905028025</v>
      </c>
      <c r="E254" t="s">
        <v>234</v>
      </c>
      <c r="G254">
        <v>0</v>
      </c>
      <c r="I254">
        <v>0</v>
      </c>
      <c r="K254" s="10">
        <f t="shared" si="3"/>
        <v>0</v>
      </c>
    </row>
    <row r="255" spans="1:11" x14ac:dyDescent="0.25">
      <c r="A255" t="s">
        <v>225</v>
      </c>
      <c r="C255">
        <v>2400</v>
      </c>
      <c r="D255">
        <v>2905028015</v>
      </c>
      <c r="E255" t="s">
        <v>82</v>
      </c>
      <c r="G255">
        <v>0</v>
      </c>
      <c r="I255" s="10">
        <v>521915</v>
      </c>
      <c r="K255" s="10">
        <f t="shared" si="3"/>
        <v>-521915</v>
      </c>
    </row>
    <row r="256" spans="1:11" x14ac:dyDescent="0.25">
      <c r="A256" t="s">
        <v>806</v>
      </c>
      <c r="C256">
        <v>2400</v>
      </c>
      <c r="D256">
        <v>2905028011</v>
      </c>
      <c r="E256" t="s">
        <v>807</v>
      </c>
      <c r="G256">
        <v>0</v>
      </c>
      <c r="I256">
        <v>0</v>
      </c>
      <c r="K256" s="10">
        <f t="shared" si="3"/>
        <v>0</v>
      </c>
    </row>
    <row r="257" spans="1:11" x14ac:dyDescent="0.25">
      <c r="A257" t="s">
        <v>104</v>
      </c>
      <c r="C257">
        <v>2400</v>
      </c>
      <c r="D257">
        <v>1301080022</v>
      </c>
      <c r="E257" t="s">
        <v>28</v>
      </c>
      <c r="G257" s="10">
        <v>455687.58</v>
      </c>
      <c r="I257">
        <v>0</v>
      </c>
      <c r="K257" s="10">
        <f t="shared" si="3"/>
        <v>455687.58</v>
      </c>
    </row>
    <row r="258" spans="1:11" x14ac:dyDescent="0.25">
      <c r="A258" t="s">
        <v>190</v>
      </c>
      <c r="C258">
        <v>2400</v>
      </c>
      <c r="D258">
        <v>1301080018</v>
      </c>
      <c r="E258" t="s">
        <v>191</v>
      </c>
      <c r="G258" s="10">
        <v>57536.34</v>
      </c>
      <c r="I258">
        <v>0</v>
      </c>
      <c r="K258" s="10">
        <f t="shared" si="3"/>
        <v>57536.34</v>
      </c>
    </row>
    <row r="259" spans="1:11" x14ac:dyDescent="0.25">
      <c r="A259" t="s">
        <v>441</v>
      </c>
      <c r="C259">
        <v>2400</v>
      </c>
      <c r="D259">
        <v>1301080019</v>
      </c>
      <c r="E259" t="s">
        <v>412</v>
      </c>
      <c r="G259">
        <v>0</v>
      </c>
      <c r="I259">
        <v>0</v>
      </c>
      <c r="K259" s="10">
        <f t="shared" si="3"/>
        <v>0</v>
      </c>
    </row>
    <row r="260" spans="1:11" x14ac:dyDescent="0.25">
      <c r="A260" t="s">
        <v>451</v>
      </c>
      <c r="C260">
        <v>2400</v>
      </c>
      <c r="D260">
        <v>1301080025</v>
      </c>
      <c r="E260" t="s">
        <v>432</v>
      </c>
      <c r="G260">
        <v>0</v>
      </c>
      <c r="I260">
        <v>0</v>
      </c>
      <c r="K260" s="10">
        <f t="shared" si="3"/>
        <v>0</v>
      </c>
    </row>
    <row r="261" spans="1:11" x14ac:dyDescent="0.25">
      <c r="A261" t="s">
        <v>221</v>
      </c>
      <c r="C261">
        <v>2400</v>
      </c>
      <c r="D261">
        <v>1301080033</v>
      </c>
      <c r="E261" t="s">
        <v>623</v>
      </c>
      <c r="G261" s="10">
        <v>364249.41</v>
      </c>
      <c r="I261">
        <v>0</v>
      </c>
      <c r="K261" s="10">
        <f t="shared" si="3"/>
        <v>364249.41</v>
      </c>
    </row>
    <row r="262" spans="1:11" x14ac:dyDescent="0.25">
      <c r="A262" t="s">
        <v>339</v>
      </c>
      <c r="C262">
        <v>2400</v>
      </c>
      <c r="D262">
        <v>1301080029</v>
      </c>
      <c r="E262" t="s">
        <v>254</v>
      </c>
      <c r="G262" s="10">
        <v>63155.9</v>
      </c>
      <c r="I262">
        <v>0</v>
      </c>
      <c r="K262" s="10">
        <f t="shared" si="3"/>
        <v>63155.9</v>
      </c>
    </row>
    <row r="263" spans="1:11" x14ac:dyDescent="0.25">
      <c r="A263" t="s">
        <v>263</v>
      </c>
      <c r="C263">
        <v>2400</v>
      </c>
      <c r="D263">
        <v>1301080030</v>
      </c>
      <c r="E263" t="s">
        <v>240</v>
      </c>
      <c r="G263">
        <v>860.95</v>
      </c>
      <c r="I263">
        <v>0</v>
      </c>
      <c r="K263" s="10">
        <f t="shared" ref="K263:K326" si="4">G263-I263</f>
        <v>860.95</v>
      </c>
    </row>
    <row r="264" spans="1:11" x14ac:dyDescent="0.25">
      <c r="A264" t="s">
        <v>808</v>
      </c>
      <c r="C264">
        <v>2400</v>
      </c>
      <c r="D264">
        <v>1301080034</v>
      </c>
      <c r="E264" t="s">
        <v>626</v>
      </c>
      <c r="G264">
        <v>0</v>
      </c>
      <c r="I264">
        <v>0</v>
      </c>
      <c r="K264" s="10">
        <f t="shared" si="4"/>
        <v>0</v>
      </c>
    </row>
    <row r="265" spans="1:11" x14ac:dyDescent="0.25">
      <c r="A265" t="s">
        <v>230</v>
      </c>
      <c r="C265">
        <v>2400</v>
      </c>
      <c r="D265">
        <v>1301080021</v>
      </c>
      <c r="E265" t="s">
        <v>88</v>
      </c>
      <c r="G265" s="10">
        <v>1196928.8400000001</v>
      </c>
      <c r="I265">
        <v>0</v>
      </c>
      <c r="K265" s="10">
        <f t="shared" si="4"/>
        <v>1196928.8400000001</v>
      </c>
    </row>
    <row r="266" spans="1:11" x14ac:dyDescent="0.25">
      <c r="A266" t="s">
        <v>809</v>
      </c>
      <c r="C266">
        <v>2400</v>
      </c>
      <c r="D266">
        <v>1301080017</v>
      </c>
      <c r="E266" t="s">
        <v>630</v>
      </c>
      <c r="G266">
        <v>0</v>
      </c>
      <c r="I266">
        <v>0</v>
      </c>
      <c r="K266" s="10">
        <f t="shared" si="4"/>
        <v>0</v>
      </c>
    </row>
    <row r="267" spans="1:11" x14ac:dyDescent="0.25">
      <c r="A267" t="s">
        <v>810</v>
      </c>
      <c r="C267">
        <v>2400</v>
      </c>
      <c r="D267">
        <v>1301110003</v>
      </c>
      <c r="E267" t="s">
        <v>811</v>
      </c>
      <c r="G267">
        <v>0</v>
      </c>
      <c r="I267">
        <v>0</v>
      </c>
      <c r="K267" s="10">
        <f t="shared" si="4"/>
        <v>0</v>
      </c>
    </row>
    <row r="268" spans="1:11" x14ac:dyDescent="0.25">
      <c r="A268" t="s">
        <v>812</v>
      </c>
      <c r="C268">
        <v>2400</v>
      </c>
      <c r="D268">
        <v>2905028008</v>
      </c>
      <c r="E268" t="s">
        <v>632</v>
      </c>
      <c r="G268">
        <v>0</v>
      </c>
      <c r="I268" s="10">
        <v>464337.73</v>
      </c>
      <c r="K268" s="10">
        <f t="shared" si="4"/>
        <v>-464337.73</v>
      </c>
    </row>
    <row r="269" spans="1:11" x14ac:dyDescent="0.25">
      <c r="A269" t="s">
        <v>203</v>
      </c>
      <c r="C269">
        <v>2400</v>
      </c>
      <c r="D269">
        <v>2905028006</v>
      </c>
      <c r="E269" t="s">
        <v>137</v>
      </c>
      <c r="G269">
        <v>0</v>
      </c>
      <c r="I269">
        <v>0</v>
      </c>
      <c r="K269" s="10">
        <f t="shared" si="4"/>
        <v>0</v>
      </c>
    </row>
    <row r="270" spans="1:11" x14ac:dyDescent="0.25">
      <c r="A270" t="s">
        <v>813</v>
      </c>
      <c r="C270">
        <v>2400</v>
      </c>
      <c r="D270">
        <v>2905021008</v>
      </c>
      <c r="E270" t="s">
        <v>210</v>
      </c>
      <c r="G270">
        <v>0</v>
      </c>
      <c r="I270">
        <v>0</v>
      </c>
      <c r="K270" s="10">
        <f t="shared" si="4"/>
        <v>0</v>
      </c>
    </row>
    <row r="271" spans="1:11" x14ac:dyDescent="0.25">
      <c r="A271" t="s">
        <v>66</v>
      </c>
      <c r="C271">
        <v>2400</v>
      </c>
      <c r="D271">
        <v>2905010001</v>
      </c>
      <c r="E271" t="s">
        <v>16</v>
      </c>
      <c r="G271">
        <v>0</v>
      </c>
      <c r="I271" s="10">
        <v>6577032.3300000001</v>
      </c>
      <c r="K271" s="10">
        <f t="shared" si="4"/>
        <v>-6577032.3300000001</v>
      </c>
    </row>
    <row r="272" spans="1:11" x14ac:dyDescent="0.25">
      <c r="A272" t="s">
        <v>95</v>
      </c>
      <c r="C272">
        <v>2400</v>
      </c>
      <c r="D272">
        <v>2905024001</v>
      </c>
      <c r="E272" t="s">
        <v>10</v>
      </c>
      <c r="G272">
        <v>0</v>
      </c>
      <c r="I272">
        <v>201.8</v>
      </c>
      <c r="K272" s="10">
        <f t="shared" si="4"/>
        <v>-201.8</v>
      </c>
    </row>
    <row r="273" spans="1:11" x14ac:dyDescent="0.25">
      <c r="A273" t="s">
        <v>814</v>
      </c>
      <c r="C273">
        <v>2400</v>
      </c>
      <c r="D273">
        <v>2905031001</v>
      </c>
      <c r="E273" t="s">
        <v>640</v>
      </c>
      <c r="G273">
        <v>0</v>
      </c>
      <c r="I273">
        <v>0</v>
      </c>
      <c r="K273" s="10">
        <f t="shared" si="4"/>
        <v>0</v>
      </c>
    </row>
    <row r="274" spans="1:11" x14ac:dyDescent="0.25">
      <c r="A274" t="s">
        <v>165</v>
      </c>
      <c r="C274">
        <v>2400</v>
      </c>
      <c r="D274">
        <v>2905022005</v>
      </c>
      <c r="E274" t="s">
        <v>52</v>
      </c>
      <c r="G274">
        <v>0</v>
      </c>
      <c r="I274" s="10">
        <v>1722144.86</v>
      </c>
      <c r="K274" s="10">
        <f t="shared" si="4"/>
        <v>-1722144.86</v>
      </c>
    </row>
    <row r="275" spans="1:11" x14ac:dyDescent="0.25">
      <c r="A275" t="s">
        <v>115</v>
      </c>
      <c r="C275">
        <v>2400</v>
      </c>
      <c r="D275">
        <v>2905028003</v>
      </c>
      <c r="E275" t="s">
        <v>116</v>
      </c>
      <c r="G275">
        <v>0</v>
      </c>
      <c r="I275">
        <v>0</v>
      </c>
      <c r="K275" s="10">
        <f t="shared" si="4"/>
        <v>0</v>
      </c>
    </row>
    <row r="276" spans="1:11" x14ac:dyDescent="0.25">
      <c r="A276" t="s">
        <v>326</v>
      </c>
      <c r="C276">
        <v>2400</v>
      </c>
      <c r="D276">
        <v>2905028035</v>
      </c>
      <c r="E276" t="s">
        <v>643</v>
      </c>
      <c r="G276">
        <v>0</v>
      </c>
      <c r="I276">
        <v>0</v>
      </c>
      <c r="K276" s="10">
        <f t="shared" si="4"/>
        <v>0</v>
      </c>
    </row>
    <row r="277" spans="1:11" x14ac:dyDescent="0.25">
      <c r="A277" t="s">
        <v>815</v>
      </c>
      <c r="C277">
        <v>2400</v>
      </c>
      <c r="D277">
        <v>2905028002</v>
      </c>
      <c r="E277" t="s">
        <v>816</v>
      </c>
      <c r="G277">
        <v>0</v>
      </c>
      <c r="I277" s="10">
        <v>15106.19</v>
      </c>
      <c r="K277" s="10">
        <f t="shared" si="4"/>
        <v>-15106.19</v>
      </c>
    </row>
    <row r="278" spans="1:11" x14ac:dyDescent="0.25">
      <c r="A278" t="s">
        <v>817</v>
      </c>
      <c r="C278">
        <v>2400</v>
      </c>
      <c r="D278">
        <v>2905023006</v>
      </c>
      <c r="E278" t="s">
        <v>818</v>
      </c>
      <c r="G278" s="10">
        <v>1001515.38</v>
      </c>
      <c r="I278">
        <v>0</v>
      </c>
      <c r="K278" s="10">
        <f t="shared" si="4"/>
        <v>1001515.38</v>
      </c>
    </row>
    <row r="279" spans="1:11" x14ac:dyDescent="0.25">
      <c r="A279" t="s">
        <v>819</v>
      </c>
      <c r="C279">
        <v>2400</v>
      </c>
      <c r="D279">
        <v>1301120007</v>
      </c>
      <c r="E279" t="s">
        <v>820</v>
      </c>
      <c r="G279">
        <v>0</v>
      </c>
      <c r="I279">
        <v>0</v>
      </c>
      <c r="K279" s="10">
        <f t="shared" si="4"/>
        <v>0</v>
      </c>
    </row>
    <row r="280" spans="1:11" x14ac:dyDescent="0.25">
      <c r="A280" t="s">
        <v>177</v>
      </c>
      <c r="C280">
        <v>2400</v>
      </c>
      <c r="D280">
        <v>2905028001</v>
      </c>
      <c r="E280" t="s">
        <v>72</v>
      </c>
      <c r="G280">
        <v>0</v>
      </c>
      <c r="I280" s="10">
        <v>2058899.04</v>
      </c>
      <c r="K280" s="10">
        <f t="shared" si="4"/>
        <v>-2058899.04</v>
      </c>
    </row>
    <row r="281" spans="1:11" x14ac:dyDescent="0.25">
      <c r="A281" t="s">
        <v>821</v>
      </c>
      <c r="C281">
        <v>2400</v>
      </c>
      <c r="D281">
        <v>1301080027</v>
      </c>
      <c r="E281" t="s">
        <v>647</v>
      </c>
      <c r="G281" s="10">
        <v>87490.05</v>
      </c>
      <c r="I281">
        <v>0</v>
      </c>
      <c r="K281" s="10">
        <f t="shared" si="4"/>
        <v>87490.05</v>
      </c>
    </row>
    <row r="282" spans="1:11" x14ac:dyDescent="0.25">
      <c r="A282" t="s">
        <v>822</v>
      </c>
      <c r="C282">
        <v>2400</v>
      </c>
      <c r="D282">
        <v>2905028036</v>
      </c>
      <c r="E282" t="s">
        <v>298</v>
      </c>
      <c r="G282">
        <v>0</v>
      </c>
      <c r="I282" s="10">
        <v>29982.41</v>
      </c>
      <c r="K282" s="10">
        <f t="shared" si="4"/>
        <v>-29982.41</v>
      </c>
    </row>
    <row r="283" spans="1:11" x14ac:dyDescent="0.25">
      <c r="A283" t="s">
        <v>488</v>
      </c>
      <c r="C283">
        <v>2400</v>
      </c>
      <c r="D283">
        <v>2905036005</v>
      </c>
      <c r="E283" t="s">
        <v>781</v>
      </c>
      <c r="G283">
        <v>0</v>
      </c>
      <c r="I283" s="10">
        <v>17470.32</v>
      </c>
      <c r="K283" s="10">
        <f t="shared" si="4"/>
        <v>-17470.32</v>
      </c>
    </row>
    <row r="284" spans="1:11" x14ac:dyDescent="0.25">
      <c r="A284" t="s">
        <v>516</v>
      </c>
      <c r="C284">
        <v>2400</v>
      </c>
      <c r="D284">
        <v>2905036004</v>
      </c>
      <c r="E284" t="s">
        <v>782</v>
      </c>
      <c r="G284">
        <v>0</v>
      </c>
      <c r="I284">
        <v>0</v>
      </c>
      <c r="K284" s="10">
        <f t="shared" si="4"/>
        <v>0</v>
      </c>
    </row>
    <row r="285" spans="1:11" x14ac:dyDescent="0.25">
      <c r="A285" t="s">
        <v>823</v>
      </c>
      <c r="C285">
        <v>2400</v>
      </c>
      <c r="D285">
        <v>1301080041</v>
      </c>
      <c r="E285" t="s">
        <v>292</v>
      </c>
      <c r="G285" s="10">
        <v>2960088.54</v>
      </c>
      <c r="I285">
        <v>0</v>
      </c>
      <c r="K285" s="10">
        <f t="shared" si="4"/>
        <v>2960088.54</v>
      </c>
    </row>
    <row r="286" spans="1:11" x14ac:dyDescent="0.25">
      <c r="A286" t="s">
        <v>481</v>
      </c>
      <c r="C286">
        <v>2400</v>
      </c>
      <c r="D286">
        <v>1301180005</v>
      </c>
      <c r="E286" t="s">
        <v>784</v>
      </c>
      <c r="G286" s="10">
        <v>36011.68</v>
      </c>
      <c r="I286">
        <v>0</v>
      </c>
      <c r="K286" s="10">
        <f t="shared" si="4"/>
        <v>36011.68</v>
      </c>
    </row>
    <row r="287" spans="1:11" x14ac:dyDescent="0.25">
      <c r="A287" t="s">
        <v>510</v>
      </c>
      <c r="C287">
        <v>2400</v>
      </c>
      <c r="D287">
        <v>1301180004</v>
      </c>
      <c r="E287" t="s">
        <v>785</v>
      </c>
      <c r="G287" s="10">
        <v>6750</v>
      </c>
      <c r="I287">
        <v>0</v>
      </c>
      <c r="K287" s="10">
        <f t="shared" si="4"/>
        <v>6750</v>
      </c>
    </row>
    <row r="288" spans="1:11" x14ac:dyDescent="0.25">
      <c r="A288" t="s">
        <v>824</v>
      </c>
      <c r="C288">
        <v>2400</v>
      </c>
      <c r="D288">
        <v>1301190006</v>
      </c>
      <c r="E288" t="s">
        <v>787</v>
      </c>
      <c r="G288" s="10">
        <v>463482.39</v>
      </c>
      <c r="I288">
        <v>0</v>
      </c>
      <c r="K288" s="10">
        <f t="shared" si="4"/>
        <v>463482.39</v>
      </c>
    </row>
    <row r="289" spans="1:11" x14ac:dyDescent="0.25">
      <c r="A289" t="s">
        <v>825</v>
      </c>
      <c r="C289">
        <v>2400</v>
      </c>
      <c r="D289">
        <v>1301190011</v>
      </c>
      <c r="E289" t="s">
        <v>789</v>
      </c>
      <c r="G289" s="10">
        <v>6966.01</v>
      </c>
      <c r="I289">
        <v>0</v>
      </c>
      <c r="K289" s="10">
        <f t="shared" si="4"/>
        <v>6966.01</v>
      </c>
    </row>
    <row r="290" spans="1:11" x14ac:dyDescent="0.25">
      <c r="A290" t="s">
        <v>826</v>
      </c>
      <c r="C290">
        <v>2400</v>
      </c>
      <c r="D290">
        <v>1301190001</v>
      </c>
      <c r="E290" t="s">
        <v>827</v>
      </c>
      <c r="G290">
        <v>0</v>
      </c>
      <c r="I290" s="10">
        <v>41366.910000000003</v>
      </c>
      <c r="K290" s="10">
        <f t="shared" si="4"/>
        <v>-41366.910000000003</v>
      </c>
    </row>
    <row r="291" spans="1:11" x14ac:dyDescent="0.25">
      <c r="A291" t="s">
        <v>828</v>
      </c>
      <c r="C291">
        <v>2450</v>
      </c>
      <c r="D291">
        <v>1301190207</v>
      </c>
      <c r="E291" t="s">
        <v>829</v>
      </c>
      <c r="G291" s="10">
        <v>478573.53</v>
      </c>
      <c r="I291">
        <v>0</v>
      </c>
      <c r="K291" s="10">
        <f t="shared" si="4"/>
        <v>478573.53</v>
      </c>
    </row>
    <row r="292" spans="1:11" x14ac:dyDescent="0.25">
      <c r="A292" t="s">
        <v>830</v>
      </c>
      <c r="C292">
        <v>2450</v>
      </c>
      <c r="D292">
        <v>1301190208</v>
      </c>
      <c r="E292" t="s">
        <v>831</v>
      </c>
      <c r="G292" s="10">
        <v>303495.39</v>
      </c>
      <c r="I292">
        <v>0</v>
      </c>
      <c r="K292" s="10">
        <f t="shared" si="4"/>
        <v>303495.39</v>
      </c>
    </row>
    <row r="293" spans="1:11" x14ac:dyDescent="0.25">
      <c r="A293" t="s">
        <v>832</v>
      </c>
      <c r="C293">
        <v>2450</v>
      </c>
      <c r="D293">
        <v>1301080004</v>
      </c>
      <c r="E293" t="s">
        <v>78</v>
      </c>
      <c r="G293">
        <v>0</v>
      </c>
      <c r="I293">
        <v>0</v>
      </c>
      <c r="K293" s="10">
        <f t="shared" si="4"/>
        <v>0</v>
      </c>
    </row>
    <row r="294" spans="1:11" x14ac:dyDescent="0.25">
      <c r="A294" t="s">
        <v>833</v>
      </c>
      <c r="C294">
        <v>2450</v>
      </c>
      <c r="D294">
        <v>1301110001</v>
      </c>
      <c r="E294" t="s">
        <v>12</v>
      </c>
      <c r="G294">
        <v>0</v>
      </c>
      <c r="I294">
        <v>0</v>
      </c>
      <c r="K294" s="10">
        <f t="shared" si="4"/>
        <v>0</v>
      </c>
    </row>
    <row r="295" spans="1:11" x14ac:dyDescent="0.25">
      <c r="A295" t="s">
        <v>834</v>
      </c>
      <c r="C295">
        <v>2450</v>
      </c>
      <c r="D295">
        <v>2905028014</v>
      </c>
      <c r="E295" t="s">
        <v>62</v>
      </c>
      <c r="G295">
        <v>0</v>
      </c>
      <c r="I295">
        <v>0</v>
      </c>
      <c r="K295" s="10">
        <f t="shared" si="4"/>
        <v>0</v>
      </c>
    </row>
    <row r="296" spans="1:11" x14ac:dyDescent="0.25">
      <c r="A296" t="s">
        <v>835</v>
      </c>
      <c r="C296">
        <v>2450</v>
      </c>
      <c r="D296">
        <v>2905010001</v>
      </c>
      <c r="E296" t="s">
        <v>16</v>
      </c>
      <c r="G296">
        <v>0</v>
      </c>
      <c r="I296" s="10">
        <v>7584</v>
      </c>
      <c r="K296" s="10">
        <f t="shared" si="4"/>
        <v>-7584</v>
      </c>
    </row>
    <row r="297" spans="1:11" x14ac:dyDescent="0.25">
      <c r="A297" t="s">
        <v>836</v>
      </c>
      <c r="C297">
        <v>2450</v>
      </c>
      <c r="D297">
        <v>2905028001</v>
      </c>
      <c r="E297" t="s">
        <v>72</v>
      </c>
      <c r="G297">
        <v>0</v>
      </c>
      <c r="I297">
        <v>0</v>
      </c>
      <c r="K297" s="10">
        <f t="shared" si="4"/>
        <v>0</v>
      </c>
    </row>
    <row r="298" spans="1:11" x14ac:dyDescent="0.25">
      <c r="A298" t="s">
        <v>837</v>
      </c>
      <c r="C298">
        <v>2450</v>
      </c>
      <c r="D298">
        <v>1301190201</v>
      </c>
      <c r="E298" t="s">
        <v>838</v>
      </c>
      <c r="G298">
        <v>0</v>
      </c>
      <c r="I298" s="10">
        <v>45972870.259999998</v>
      </c>
      <c r="K298" s="10">
        <f t="shared" si="4"/>
        <v>-45972870.259999998</v>
      </c>
    </row>
    <row r="299" spans="1:11" x14ac:dyDescent="0.25">
      <c r="A299" t="s">
        <v>839</v>
      </c>
      <c r="C299">
        <v>2450</v>
      </c>
      <c r="D299">
        <v>1301190202</v>
      </c>
      <c r="E299" t="s">
        <v>840</v>
      </c>
      <c r="G299">
        <v>0</v>
      </c>
      <c r="I299" s="10">
        <v>84426976.230000004</v>
      </c>
      <c r="K299" s="10">
        <f t="shared" si="4"/>
        <v>-84426976.230000004</v>
      </c>
    </row>
    <row r="300" spans="1:11" x14ac:dyDescent="0.25">
      <c r="A300" t="s">
        <v>841</v>
      </c>
      <c r="C300">
        <v>2500</v>
      </c>
      <c r="D300">
        <v>1301190019</v>
      </c>
      <c r="E300" t="s">
        <v>794</v>
      </c>
      <c r="G300">
        <v>0</v>
      </c>
      <c r="I300" s="10">
        <v>279252.99</v>
      </c>
      <c r="K300" s="10">
        <f t="shared" si="4"/>
        <v>-279252.99</v>
      </c>
    </row>
    <row r="301" spans="1:11" x14ac:dyDescent="0.25">
      <c r="A301" t="s">
        <v>842</v>
      </c>
      <c r="C301">
        <v>2500</v>
      </c>
      <c r="D301">
        <v>1301190012</v>
      </c>
      <c r="E301" t="s">
        <v>796</v>
      </c>
      <c r="G301" s="10">
        <v>15012.06</v>
      </c>
      <c r="I301">
        <v>0</v>
      </c>
      <c r="K301" s="10">
        <f t="shared" si="4"/>
        <v>15012.06</v>
      </c>
    </row>
    <row r="302" spans="1:11" x14ac:dyDescent="0.25">
      <c r="A302" t="s">
        <v>843</v>
      </c>
      <c r="C302">
        <v>2500</v>
      </c>
      <c r="D302">
        <v>1301120001</v>
      </c>
      <c r="E302" t="s">
        <v>602</v>
      </c>
      <c r="G302" s="10">
        <v>3750</v>
      </c>
      <c r="I302">
        <v>0</v>
      </c>
      <c r="K302" s="10">
        <f t="shared" si="4"/>
        <v>3750</v>
      </c>
    </row>
    <row r="303" spans="1:11" x14ac:dyDescent="0.25">
      <c r="A303" t="s">
        <v>170</v>
      </c>
      <c r="C303">
        <v>2500</v>
      </c>
      <c r="D303">
        <v>1301080003</v>
      </c>
      <c r="E303" t="s">
        <v>60</v>
      </c>
      <c r="G303" s="10">
        <v>44240.47</v>
      </c>
      <c r="I303">
        <v>0</v>
      </c>
      <c r="K303" s="10">
        <f t="shared" si="4"/>
        <v>44240.47</v>
      </c>
    </row>
    <row r="304" spans="1:11" x14ac:dyDescent="0.25">
      <c r="A304" t="s">
        <v>844</v>
      </c>
      <c r="C304">
        <v>2500</v>
      </c>
      <c r="D304">
        <v>1301080040</v>
      </c>
      <c r="E304" t="s">
        <v>610</v>
      </c>
      <c r="G304" s="10">
        <v>4750299.05</v>
      </c>
      <c r="I304">
        <v>0</v>
      </c>
      <c r="K304" s="10">
        <f t="shared" si="4"/>
        <v>4750299.05</v>
      </c>
    </row>
    <row r="305" spans="1:11" x14ac:dyDescent="0.25">
      <c r="A305" t="s">
        <v>845</v>
      </c>
      <c r="C305">
        <v>2500</v>
      </c>
      <c r="D305">
        <v>1301180002</v>
      </c>
      <c r="E305" t="s">
        <v>612</v>
      </c>
      <c r="G305">
        <v>0</v>
      </c>
      <c r="I305">
        <v>0</v>
      </c>
      <c r="K305" s="10">
        <f t="shared" si="4"/>
        <v>0</v>
      </c>
    </row>
    <row r="306" spans="1:11" x14ac:dyDescent="0.25">
      <c r="A306" t="s">
        <v>846</v>
      </c>
      <c r="C306">
        <v>2500</v>
      </c>
      <c r="D306">
        <v>1301120003</v>
      </c>
      <c r="E306" t="s">
        <v>657</v>
      </c>
      <c r="G306">
        <v>0</v>
      </c>
      <c r="I306">
        <v>0</v>
      </c>
      <c r="K306" s="10">
        <f t="shared" si="4"/>
        <v>0</v>
      </c>
    </row>
    <row r="307" spans="1:11" x14ac:dyDescent="0.25">
      <c r="A307" t="s">
        <v>73</v>
      </c>
      <c r="C307">
        <v>2500</v>
      </c>
      <c r="D307">
        <v>1301110001</v>
      </c>
      <c r="E307" t="s">
        <v>12</v>
      </c>
      <c r="G307" s="10">
        <v>1463.94</v>
      </c>
      <c r="I307">
        <v>0</v>
      </c>
      <c r="K307" s="10">
        <f t="shared" si="4"/>
        <v>1463.94</v>
      </c>
    </row>
    <row r="308" spans="1:11" x14ac:dyDescent="0.25">
      <c r="A308" t="s">
        <v>147</v>
      </c>
      <c r="C308">
        <v>2500</v>
      </c>
      <c r="D308">
        <v>1301110004</v>
      </c>
      <c r="E308" t="s">
        <v>48</v>
      </c>
      <c r="G308">
        <v>0</v>
      </c>
      <c r="I308">
        <v>0</v>
      </c>
      <c r="K308" s="10">
        <f t="shared" si="4"/>
        <v>0</v>
      </c>
    </row>
    <row r="309" spans="1:11" x14ac:dyDescent="0.25">
      <c r="A309" t="s">
        <v>185</v>
      </c>
      <c r="C309">
        <v>2500</v>
      </c>
      <c r="D309">
        <v>2905028016</v>
      </c>
      <c r="E309" t="s">
        <v>22</v>
      </c>
      <c r="G309">
        <v>0</v>
      </c>
      <c r="I309">
        <v>0</v>
      </c>
      <c r="K309" s="10">
        <f t="shared" si="4"/>
        <v>0</v>
      </c>
    </row>
    <row r="310" spans="1:11" x14ac:dyDescent="0.25">
      <c r="A310" t="s">
        <v>847</v>
      </c>
      <c r="C310">
        <v>2500</v>
      </c>
      <c r="D310">
        <v>2905028028</v>
      </c>
      <c r="E310" t="s">
        <v>617</v>
      </c>
      <c r="G310">
        <v>0</v>
      </c>
      <c r="I310" s="10">
        <v>1080484.73</v>
      </c>
      <c r="K310" s="10">
        <f t="shared" si="4"/>
        <v>-1080484.73</v>
      </c>
    </row>
    <row r="311" spans="1:11" x14ac:dyDescent="0.25">
      <c r="A311" t="s">
        <v>396</v>
      </c>
      <c r="C311">
        <v>2500</v>
      </c>
      <c r="D311">
        <v>2905028015</v>
      </c>
      <c r="E311" t="s">
        <v>82</v>
      </c>
      <c r="G311">
        <v>0</v>
      </c>
      <c r="I311">
        <v>0</v>
      </c>
      <c r="K311" s="10">
        <f t="shared" si="4"/>
        <v>0</v>
      </c>
    </row>
    <row r="312" spans="1:11" x14ac:dyDescent="0.25">
      <c r="A312" t="s">
        <v>848</v>
      </c>
      <c r="C312">
        <v>2500</v>
      </c>
      <c r="D312">
        <v>2905028011</v>
      </c>
      <c r="E312" t="s">
        <v>807</v>
      </c>
      <c r="G312">
        <v>0</v>
      </c>
      <c r="I312">
        <v>0</v>
      </c>
      <c r="K312" s="10">
        <f t="shared" si="4"/>
        <v>0</v>
      </c>
    </row>
    <row r="313" spans="1:11" x14ac:dyDescent="0.25">
      <c r="A313" t="s">
        <v>181</v>
      </c>
      <c r="C313">
        <v>2500</v>
      </c>
      <c r="D313">
        <v>2905028014</v>
      </c>
      <c r="E313" t="s">
        <v>62</v>
      </c>
      <c r="G313">
        <v>0</v>
      </c>
      <c r="I313" s="10">
        <v>1398577.37</v>
      </c>
      <c r="K313" s="10">
        <f t="shared" si="4"/>
        <v>-1398577.37</v>
      </c>
    </row>
    <row r="314" spans="1:11" x14ac:dyDescent="0.25">
      <c r="A314" t="s">
        <v>849</v>
      </c>
      <c r="C314">
        <v>2500</v>
      </c>
      <c r="D314">
        <v>1301080022</v>
      </c>
      <c r="E314" t="s">
        <v>28</v>
      </c>
      <c r="G314" s="10">
        <v>109685.88</v>
      </c>
      <c r="I314">
        <v>0</v>
      </c>
      <c r="K314" s="10">
        <f t="shared" si="4"/>
        <v>109685.88</v>
      </c>
    </row>
    <row r="315" spans="1:11" x14ac:dyDescent="0.25">
      <c r="A315" t="s">
        <v>178</v>
      </c>
      <c r="C315">
        <v>2500</v>
      </c>
      <c r="D315">
        <v>1301080020</v>
      </c>
      <c r="E315" t="s">
        <v>259</v>
      </c>
      <c r="G315" s="10">
        <v>2058899.04</v>
      </c>
      <c r="I315">
        <v>0</v>
      </c>
      <c r="K315" s="10">
        <f t="shared" si="4"/>
        <v>2058899.04</v>
      </c>
    </row>
    <row r="316" spans="1:11" x14ac:dyDescent="0.25">
      <c r="A316" t="s">
        <v>850</v>
      </c>
      <c r="C316">
        <v>2500</v>
      </c>
      <c r="D316">
        <v>1301080033</v>
      </c>
      <c r="E316" t="s">
        <v>623</v>
      </c>
      <c r="G316" s="10">
        <v>978967.36</v>
      </c>
      <c r="I316">
        <v>0</v>
      </c>
      <c r="K316" s="10">
        <f t="shared" si="4"/>
        <v>978967.36</v>
      </c>
    </row>
    <row r="317" spans="1:11" x14ac:dyDescent="0.25">
      <c r="A317" t="s">
        <v>851</v>
      </c>
      <c r="C317">
        <v>2500</v>
      </c>
      <c r="D317">
        <v>1301080029</v>
      </c>
      <c r="E317" t="s">
        <v>254</v>
      </c>
      <c r="G317" s="10">
        <v>2771</v>
      </c>
      <c r="I317">
        <v>0</v>
      </c>
      <c r="K317" s="10">
        <f t="shared" si="4"/>
        <v>2771</v>
      </c>
    </row>
    <row r="318" spans="1:11" x14ac:dyDescent="0.25">
      <c r="A318" t="s">
        <v>391</v>
      </c>
      <c r="C318">
        <v>2500</v>
      </c>
      <c r="D318">
        <v>1301080021</v>
      </c>
      <c r="E318" t="s">
        <v>88</v>
      </c>
      <c r="G318" s="10">
        <v>529192.75</v>
      </c>
      <c r="I318">
        <v>0</v>
      </c>
      <c r="K318" s="10">
        <f t="shared" si="4"/>
        <v>529192.75</v>
      </c>
    </row>
    <row r="319" spans="1:11" x14ac:dyDescent="0.25">
      <c r="A319" t="s">
        <v>852</v>
      </c>
      <c r="C319">
        <v>2500</v>
      </c>
      <c r="D319">
        <v>1301080016</v>
      </c>
      <c r="E319" t="s">
        <v>853</v>
      </c>
      <c r="G319">
        <v>0</v>
      </c>
      <c r="I319">
        <v>0</v>
      </c>
      <c r="K319" s="10">
        <f t="shared" si="4"/>
        <v>0</v>
      </c>
    </row>
    <row r="320" spans="1:11" x14ac:dyDescent="0.25">
      <c r="A320" t="s">
        <v>854</v>
      </c>
      <c r="C320">
        <v>2500</v>
      </c>
      <c r="D320">
        <v>1301080017</v>
      </c>
      <c r="E320" t="s">
        <v>630</v>
      </c>
      <c r="G320">
        <v>0</v>
      </c>
      <c r="I320">
        <v>0</v>
      </c>
      <c r="K320" s="10">
        <f t="shared" si="4"/>
        <v>0</v>
      </c>
    </row>
    <row r="321" spans="1:11" x14ac:dyDescent="0.25">
      <c r="A321" t="s">
        <v>855</v>
      </c>
      <c r="C321">
        <v>2500</v>
      </c>
      <c r="D321">
        <v>2905028008</v>
      </c>
      <c r="E321" t="s">
        <v>632</v>
      </c>
      <c r="G321">
        <v>0</v>
      </c>
      <c r="I321" s="10">
        <v>22956.67</v>
      </c>
      <c r="K321" s="10">
        <f t="shared" si="4"/>
        <v>-22956.67</v>
      </c>
    </row>
    <row r="322" spans="1:11" x14ac:dyDescent="0.25">
      <c r="A322" t="s">
        <v>150</v>
      </c>
      <c r="C322">
        <v>2500</v>
      </c>
      <c r="D322">
        <v>2905028006</v>
      </c>
      <c r="E322" t="s">
        <v>137</v>
      </c>
      <c r="G322">
        <v>0</v>
      </c>
      <c r="I322">
        <v>0</v>
      </c>
      <c r="K322" s="10">
        <f t="shared" si="4"/>
        <v>0</v>
      </c>
    </row>
    <row r="323" spans="1:11" x14ac:dyDescent="0.25">
      <c r="A323" t="s">
        <v>856</v>
      </c>
      <c r="C323">
        <v>2500</v>
      </c>
      <c r="D323">
        <v>2905021008</v>
      </c>
      <c r="E323" t="s">
        <v>210</v>
      </c>
      <c r="G323">
        <v>0</v>
      </c>
      <c r="I323">
        <v>0</v>
      </c>
      <c r="K323" s="10">
        <f t="shared" si="4"/>
        <v>0</v>
      </c>
    </row>
    <row r="324" spans="1:11" x14ac:dyDescent="0.25">
      <c r="A324" t="s">
        <v>76</v>
      </c>
      <c r="C324">
        <v>2500</v>
      </c>
      <c r="D324">
        <v>2905010001</v>
      </c>
      <c r="E324" t="s">
        <v>16</v>
      </c>
      <c r="G324">
        <v>0</v>
      </c>
      <c r="I324" s="10">
        <v>1211446</v>
      </c>
      <c r="K324" s="10">
        <f t="shared" si="4"/>
        <v>-1211446</v>
      </c>
    </row>
    <row r="325" spans="1:11" x14ac:dyDescent="0.25">
      <c r="A325" t="s">
        <v>173</v>
      </c>
      <c r="C325">
        <v>2500</v>
      </c>
      <c r="D325">
        <v>2905022005</v>
      </c>
      <c r="E325" t="s">
        <v>52</v>
      </c>
      <c r="G325">
        <v>0</v>
      </c>
      <c r="I325" s="10">
        <v>171804.95</v>
      </c>
      <c r="K325" s="10">
        <f t="shared" si="4"/>
        <v>-171804.95</v>
      </c>
    </row>
    <row r="326" spans="1:11" x14ac:dyDescent="0.25">
      <c r="A326" t="s">
        <v>857</v>
      </c>
      <c r="C326">
        <v>2500</v>
      </c>
      <c r="D326">
        <v>2905028010</v>
      </c>
      <c r="E326" t="s">
        <v>642</v>
      </c>
      <c r="G326">
        <v>0</v>
      </c>
      <c r="I326">
        <v>0</v>
      </c>
      <c r="K326" s="10">
        <f t="shared" si="4"/>
        <v>0</v>
      </c>
    </row>
    <row r="327" spans="1:11" x14ac:dyDescent="0.25">
      <c r="A327" t="s">
        <v>858</v>
      </c>
      <c r="C327">
        <v>2500</v>
      </c>
      <c r="D327">
        <v>2905028035</v>
      </c>
      <c r="E327" t="s">
        <v>643</v>
      </c>
      <c r="G327">
        <v>0</v>
      </c>
      <c r="I327" s="10">
        <v>1935626.8</v>
      </c>
      <c r="K327" s="10">
        <f t="shared" ref="K327:K390" si="5">G327-I327</f>
        <v>-1935626.8</v>
      </c>
    </row>
    <row r="328" spans="1:11" x14ac:dyDescent="0.25">
      <c r="A328" t="s">
        <v>499</v>
      </c>
      <c r="C328">
        <v>2500</v>
      </c>
      <c r="D328">
        <v>2905036005</v>
      </c>
      <c r="E328" t="s">
        <v>781</v>
      </c>
      <c r="G328">
        <v>0</v>
      </c>
      <c r="I328" s="10">
        <v>119535.49</v>
      </c>
      <c r="K328" s="10">
        <f t="shared" si="5"/>
        <v>-119535.49</v>
      </c>
    </row>
    <row r="329" spans="1:11" x14ac:dyDescent="0.25">
      <c r="A329" t="s">
        <v>507</v>
      </c>
      <c r="C329">
        <v>2500</v>
      </c>
      <c r="D329">
        <v>2905036004</v>
      </c>
      <c r="E329" t="s">
        <v>782</v>
      </c>
      <c r="G329">
        <v>0</v>
      </c>
      <c r="I329" s="10">
        <v>16657.810000000001</v>
      </c>
      <c r="K329" s="10">
        <f t="shared" si="5"/>
        <v>-16657.810000000001</v>
      </c>
    </row>
    <row r="330" spans="1:11" x14ac:dyDescent="0.25">
      <c r="A330" t="s">
        <v>859</v>
      </c>
      <c r="C330">
        <v>2500</v>
      </c>
      <c r="D330">
        <v>1301110009</v>
      </c>
      <c r="E330" t="s">
        <v>143</v>
      </c>
      <c r="G330">
        <v>0</v>
      </c>
      <c r="I330">
        <v>0</v>
      </c>
      <c r="K330" s="10">
        <f t="shared" si="5"/>
        <v>0</v>
      </c>
    </row>
    <row r="331" spans="1:11" x14ac:dyDescent="0.25">
      <c r="A331" t="s">
        <v>492</v>
      </c>
      <c r="C331">
        <v>2500</v>
      </c>
      <c r="D331">
        <v>1301180005</v>
      </c>
      <c r="E331" t="s">
        <v>784</v>
      </c>
      <c r="G331" s="10">
        <v>109932.81</v>
      </c>
      <c r="I331">
        <v>0</v>
      </c>
      <c r="K331" s="10">
        <f t="shared" si="5"/>
        <v>109932.81</v>
      </c>
    </row>
    <row r="332" spans="1:11" x14ac:dyDescent="0.25">
      <c r="A332" t="s">
        <v>502</v>
      </c>
      <c r="C332">
        <v>2500</v>
      </c>
      <c r="D332">
        <v>1301180004</v>
      </c>
      <c r="E332" t="s">
        <v>785</v>
      </c>
      <c r="G332">
        <v>0</v>
      </c>
      <c r="I332">
        <v>0</v>
      </c>
      <c r="K332" s="10">
        <f t="shared" si="5"/>
        <v>0</v>
      </c>
    </row>
    <row r="333" spans="1:11" x14ac:dyDescent="0.25">
      <c r="A333" t="s">
        <v>860</v>
      </c>
      <c r="C333">
        <v>2500</v>
      </c>
      <c r="D333">
        <v>1301190006</v>
      </c>
      <c r="E333" t="s">
        <v>787</v>
      </c>
      <c r="G333">
        <v>0</v>
      </c>
      <c r="I333" s="10">
        <v>40647962.640000001</v>
      </c>
      <c r="K333" s="10">
        <f t="shared" si="5"/>
        <v>-40647962.640000001</v>
      </c>
    </row>
    <row r="334" spans="1:11" x14ac:dyDescent="0.25">
      <c r="A334" t="s">
        <v>861</v>
      </c>
      <c r="C334">
        <v>2500</v>
      </c>
      <c r="D334">
        <v>1301190011</v>
      </c>
      <c r="E334" t="s">
        <v>789</v>
      </c>
      <c r="G334" s="10">
        <v>10283357.960000001</v>
      </c>
      <c r="I334">
        <v>0</v>
      </c>
      <c r="K334" s="10">
        <f t="shared" si="5"/>
        <v>10283357.960000001</v>
      </c>
    </row>
    <row r="335" spans="1:11" x14ac:dyDescent="0.25">
      <c r="A335" t="s">
        <v>862</v>
      </c>
      <c r="C335">
        <v>2550</v>
      </c>
      <c r="D335">
        <v>1301080004</v>
      </c>
      <c r="E335" t="s">
        <v>78</v>
      </c>
      <c r="G335">
        <v>0</v>
      </c>
      <c r="I335">
        <v>0</v>
      </c>
      <c r="K335" s="10">
        <f t="shared" si="5"/>
        <v>0</v>
      </c>
    </row>
    <row r="336" spans="1:11" x14ac:dyDescent="0.25">
      <c r="A336" t="s">
        <v>863</v>
      </c>
      <c r="C336">
        <v>2550</v>
      </c>
      <c r="D336">
        <v>1301110001</v>
      </c>
      <c r="E336" t="s">
        <v>12</v>
      </c>
      <c r="G336">
        <v>0</v>
      </c>
      <c r="I336">
        <v>0</v>
      </c>
      <c r="K336" s="10">
        <f t="shared" si="5"/>
        <v>0</v>
      </c>
    </row>
    <row r="337" spans="1:11" x14ac:dyDescent="0.25">
      <c r="A337" t="s">
        <v>864</v>
      </c>
      <c r="C337">
        <v>2550</v>
      </c>
      <c r="D337">
        <v>2905028001</v>
      </c>
      <c r="E337" t="s">
        <v>72</v>
      </c>
      <c r="G337">
        <v>0</v>
      </c>
      <c r="I337">
        <v>0</v>
      </c>
      <c r="K337" s="10">
        <f t="shared" si="5"/>
        <v>0</v>
      </c>
    </row>
    <row r="338" spans="1:11" x14ac:dyDescent="0.25">
      <c r="A338" t="s">
        <v>865</v>
      </c>
      <c r="C338">
        <v>2550</v>
      </c>
      <c r="D338">
        <v>1301190201</v>
      </c>
      <c r="E338" t="s">
        <v>838</v>
      </c>
      <c r="G338">
        <v>0</v>
      </c>
      <c r="I338" s="10">
        <v>69148955.920000002</v>
      </c>
      <c r="K338" s="10">
        <f t="shared" si="5"/>
        <v>-69148955.920000002</v>
      </c>
    </row>
    <row r="339" spans="1:11" x14ac:dyDescent="0.25">
      <c r="A339" t="s">
        <v>866</v>
      </c>
      <c r="C339">
        <v>2550</v>
      </c>
      <c r="D339">
        <v>1301190202</v>
      </c>
      <c r="E339" t="s">
        <v>840</v>
      </c>
      <c r="G339">
        <v>0</v>
      </c>
      <c r="I339" s="10">
        <v>170838187.66</v>
      </c>
      <c r="K339" s="10">
        <f t="shared" si="5"/>
        <v>-170838187.66</v>
      </c>
    </row>
    <row r="340" spans="1:11" x14ac:dyDescent="0.25">
      <c r="A340" t="s">
        <v>867</v>
      </c>
      <c r="C340">
        <v>2560</v>
      </c>
      <c r="D340">
        <v>1301080004</v>
      </c>
      <c r="E340" t="s">
        <v>78</v>
      </c>
      <c r="G340" s="10">
        <v>1935626.8</v>
      </c>
      <c r="I340">
        <v>0</v>
      </c>
      <c r="K340" s="10">
        <f t="shared" si="5"/>
        <v>1935626.8</v>
      </c>
    </row>
    <row r="341" spans="1:11" x14ac:dyDescent="0.25">
      <c r="A341" t="s">
        <v>868</v>
      </c>
      <c r="C341">
        <v>2560</v>
      </c>
      <c r="D341">
        <v>1301080003</v>
      </c>
      <c r="E341" t="s">
        <v>60</v>
      </c>
      <c r="G341">
        <v>15.28</v>
      </c>
      <c r="I341">
        <v>0</v>
      </c>
      <c r="K341" s="10">
        <f t="shared" si="5"/>
        <v>15.28</v>
      </c>
    </row>
    <row r="342" spans="1:11" x14ac:dyDescent="0.25">
      <c r="A342" t="s">
        <v>316</v>
      </c>
      <c r="C342">
        <v>2560</v>
      </c>
      <c r="D342">
        <v>1301110001</v>
      </c>
      <c r="E342" t="s">
        <v>12</v>
      </c>
      <c r="G342">
        <v>0</v>
      </c>
      <c r="I342">
        <v>0</v>
      </c>
      <c r="K342" s="10">
        <f t="shared" si="5"/>
        <v>0</v>
      </c>
    </row>
    <row r="343" spans="1:11" x14ac:dyDescent="0.25">
      <c r="A343" t="s">
        <v>322</v>
      </c>
      <c r="C343">
        <v>2560</v>
      </c>
      <c r="D343">
        <v>2905028014</v>
      </c>
      <c r="E343" t="s">
        <v>62</v>
      </c>
      <c r="G343">
        <v>0</v>
      </c>
      <c r="I343" s="10">
        <v>2927508.61</v>
      </c>
      <c r="K343" s="10">
        <f t="shared" si="5"/>
        <v>-2927508.61</v>
      </c>
    </row>
    <row r="344" spans="1:11" x14ac:dyDescent="0.25">
      <c r="A344" t="s">
        <v>325</v>
      </c>
      <c r="C344">
        <v>2560</v>
      </c>
      <c r="D344">
        <v>1301080020</v>
      </c>
      <c r="E344" t="s">
        <v>259</v>
      </c>
      <c r="G344">
        <v>0</v>
      </c>
      <c r="I344">
        <v>0</v>
      </c>
      <c r="K344" s="10">
        <f t="shared" si="5"/>
        <v>0</v>
      </c>
    </row>
    <row r="345" spans="1:11" x14ac:dyDescent="0.25">
      <c r="A345" t="s">
        <v>313</v>
      </c>
      <c r="C345">
        <v>2560</v>
      </c>
      <c r="D345">
        <v>2905010001</v>
      </c>
      <c r="E345" t="s">
        <v>16</v>
      </c>
      <c r="G345">
        <v>0</v>
      </c>
      <c r="I345" s="10">
        <v>112811</v>
      </c>
      <c r="K345" s="10">
        <f t="shared" si="5"/>
        <v>-112811</v>
      </c>
    </row>
    <row r="346" spans="1:11" x14ac:dyDescent="0.25">
      <c r="A346" t="s">
        <v>869</v>
      </c>
      <c r="C346">
        <v>2560</v>
      </c>
      <c r="D346">
        <v>2905028001</v>
      </c>
      <c r="E346" t="s">
        <v>72</v>
      </c>
      <c r="G346">
        <v>0</v>
      </c>
      <c r="I346" s="10">
        <v>4750299.05</v>
      </c>
      <c r="K346" s="10">
        <f t="shared" si="5"/>
        <v>-4750299.05</v>
      </c>
    </row>
    <row r="347" spans="1:11" x14ac:dyDescent="0.25">
      <c r="A347" t="s">
        <v>529</v>
      </c>
      <c r="C347">
        <v>2560</v>
      </c>
      <c r="D347">
        <v>2905036005</v>
      </c>
      <c r="E347" t="s">
        <v>781</v>
      </c>
      <c r="G347">
        <v>0</v>
      </c>
      <c r="I347">
        <v>0</v>
      </c>
      <c r="K347" s="10">
        <f t="shared" si="5"/>
        <v>0</v>
      </c>
    </row>
    <row r="348" spans="1:11" x14ac:dyDescent="0.25">
      <c r="A348" t="s">
        <v>532</v>
      </c>
      <c r="C348">
        <v>2560</v>
      </c>
      <c r="D348">
        <v>1301180005</v>
      </c>
      <c r="E348" t="s">
        <v>784</v>
      </c>
      <c r="G348">
        <v>0</v>
      </c>
      <c r="I348">
        <v>0</v>
      </c>
      <c r="K348" s="10">
        <f t="shared" si="5"/>
        <v>0</v>
      </c>
    </row>
    <row r="349" spans="1:11" x14ac:dyDescent="0.25">
      <c r="A349" t="s">
        <v>870</v>
      </c>
      <c r="C349">
        <v>2600</v>
      </c>
      <c r="D349">
        <v>1301190012</v>
      </c>
      <c r="E349" t="s">
        <v>796</v>
      </c>
      <c r="G349">
        <v>0</v>
      </c>
      <c r="I349">
        <v>0</v>
      </c>
      <c r="K349" s="10">
        <f t="shared" si="5"/>
        <v>0</v>
      </c>
    </row>
    <row r="350" spans="1:11" x14ac:dyDescent="0.25">
      <c r="A350" t="s">
        <v>871</v>
      </c>
      <c r="C350">
        <v>2600</v>
      </c>
      <c r="D350">
        <v>1301120001</v>
      </c>
      <c r="E350" t="s">
        <v>602</v>
      </c>
      <c r="G350">
        <v>0</v>
      </c>
      <c r="I350">
        <v>0</v>
      </c>
      <c r="K350" s="10">
        <f t="shared" si="5"/>
        <v>0</v>
      </c>
    </row>
    <row r="351" spans="1:11" x14ac:dyDescent="0.25">
      <c r="A351" t="s">
        <v>395</v>
      </c>
      <c r="C351">
        <v>2600</v>
      </c>
      <c r="D351">
        <v>1301080004</v>
      </c>
      <c r="E351" t="s">
        <v>78</v>
      </c>
      <c r="G351">
        <v>0</v>
      </c>
      <c r="I351">
        <v>0</v>
      </c>
      <c r="K351" s="10">
        <f t="shared" si="5"/>
        <v>0</v>
      </c>
    </row>
    <row r="352" spans="1:11" x14ac:dyDescent="0.25">
      <c r="A352" t="s">
        <v>276</v>
      </c>
      <c r="C352">
        <v>2600</v>
      </c>
      <c r="D352">
        <v>1301080003</v>
      </c>
      <c r="E352" t="s">
        <v>60</v>
      </c>
      <c r="G352" s="10">
        <v>18774</v>
      </c>
      <c r="I352">
        <v>0</v>
      </c>
      <c r="K352" s="10">
        <f t="shared" si="5"/>
        <v>18774</v>
      </c>
    </row>
    <row r="353" spans="1:11" x14ac:dyDescent="0.25">
      <c r="A353" t="s">
        <v>872</v>
      </c>
      <c r="C353">
        <v>2600</v>
      </c>
      <c r="D353">
        <v>1301120003</v>
      </c>
      <c r="E353" t="s">
        <v>657</v>
      </c>
      <c r="G353">
        <v>0</v>
      </c>
      <c r="I353">
        <v>0</v>
      </c>
      <c r="K353" s="10">
        <f t="shared" si="5"/>
        <v>0</v>
      </c>
    </row>
    <row r="354" spans="1:11" x14ac:dyDescent="0.25">
      <c r="A354" t="s">
        <v>83</v>
      </c>
      <c r="C354">
        <v>2600</v>
      </c>
      <c r="D354">
        <v>1301110001</v>
      </c>
      <c r="E354" t="s">
        <v>12</v>
      </c>
      <c r="G354">
        <v>0</v>
      </c>
      <c r="I354">
        <v>0</v>
      </c>
      <c r="K354" s="10">
        <f t="shared" si="5"/>
        <v>0</v>
      </c>
    </row>
    <row r="355" spans="1:11" x14ac:dyDescent="0.25">
      <c r="A355" t="s">
        <v>362</v>
      </c>
      <c r="C355">
        <v>2600</v>
      </c>
      <c r="D355">
        <v>2905028016</v>
      </c>
      <c r="E355" t="s">
        <v>22</v>
      </c>
      <c r="G355">
        <v>0</v>
      </c>
      <c r="I355">
        <v>0</v>
      </c>
      <c r="K355" s="10">
        <f t="shared" si="5"/>
        <v>0</v>
      </c>
    </row>
    <row r="356" spans="1:11" x14ac:dyDescent="0.25">
      <c r="A356" t="s">
        <v>375</v>
      </c>
      <c r="C356">
        <v>2600</v>
      </c>
      <c r="D356">
        <v>2905028028</v>
      </c>
      <c r="E356" t="s">
        <v>617</v>
      </c>
      <c r="G356">
        <v>0</v>
      </c>
      <c r="I356">
        <v>0</v>
      </c>
      <c r="K356" s="10">
        <f t="shared" si="5"/>
        <v>0</v>
      </c>
    </row>
    <row r="357" spans="1:11" x14ac:dyDescent="0.25">
      <c r="A357" t="s">
        <v>873</v>
      </c>
      <c r="C357">
        <v>2600</v>
      </c>
      <c r="D357">
        <v>2905028024</v>
      </c>
      <c r="E357" t="s">
        <v>619</v>
      </c>
      <c r="G357">
        <v>0</v>
      </c>
      <c r="I357" s="10">
        <v>1989.35</v>
      </c>
      <c r="K357" s="10">
        <f t="shared" si="5"/>
        <v>-1989.35</v>
      </c>
    </row>
    <row r="358" spans="1:11" x14ac:dyDescent="0.25">
      <c r="A358" t="s">
        <v>229</v>
      </c>
      <c r="C358">
        <v>2600</v>
      </c>
      <c r="D358">
        <v>2905028014</v>
      </c>
      <c r="E358" t="s">
        <v>62</v>
      </c>
      <c r="G358">
        <v>0</v>
      </c>
      <c r="I358" s="10">
        <v>1196928.8400000001</v>
      </c>
      <c r="K358" s="10">
        <f t="shared" si="5"/>
        <v>-1196928.8400000001</v>
      </c>
    </row>
    <row r="359" spans="1:11" x14ac:dyDescent="0.25">
      <c r="A359" t="s">
        <v>226</v>
      </c>
      <c r="C359">
        <v>2600</v>
      </c>
      <c r="D359">
        <v>1301080020</v>
      </c>
      <c r="E359" t="s">
        <v>259</v>
      </c>
      <c r="G359" s="10">
        <v>521915</v>
      </c>
      <c r="I359">
        <v>0</v>
      </c>
      <c r="K359" s="10">
        <f t="shared" si="5"/>
        <v>521915</v>
      </c>
    </row>
    <row r="360" spans="1:11" x14ac:dyDescent="0.25">
      <c r="A360" t="s">
        <v>380</v>
      </c>
      <c r="C360">
        <v>2600</v>
      </c>
      <c r="D360">
        <v>1301080033</v>
      </c>
      <c r="E360" t="s">
        <v>623</v>
      </c>
      <c r="G360">
        <v>0</v>
      </c>
      <c r="I360">
        <v>0</v>
      </c>
      <c r="K360" s="10">
        <f t="shared" si="5"/>
        <v>0</v>
      </c>
    </row>
    <row r="361" spans="1:11" x14ac:dyDescent="0.25">
      <c r="A361" t="s">
        <v>874</v>
      </c>
      <c r="C361">
        <v>2600</v>
      </c>
      <c r="D361">
        <v>1301080029</v>
      </c>
      <c r="E361" t="s">
        <v>254</v>
      </c>
      <c r="G361" s="10">
        <v>80249.42</v>
      </c>
      <c r="I361">
        <v>0</v>
      </c>
      <c r="K361" s="10">
        <f t="shared" si="5"/>
        <v>80249.42</v>
      </c>
    </row>
    <row r="362" spans="1:11" x14ac:dyDescent="0.25">
      <c r="A362" t="s">
        <v>875</v>
      </c>
      <c r="C362">
        <v>2600</v>
      </c>
      <c r="D362">
        <v>2905028008</v>
      </c>
      <c r="E362" t="s">
        <v>632</v>
      </c>
      <c r="G362">
        <v>0</v>
      </c>
      <c r="I362">
        <v>896.17</v>
      </c>
      <c r="K362" s="10">
        <f t="shared" si="5"/>
        <v>-896.17</v>
      </c>
    </row>
    <row r="363" spans="1:11" x14ac:dyDescent="0.25">
      <c r="A363" t="s">
        <v>86</v>
      </c>
      <c r="C363">
        <v>2600</v>
      </c>
      <c r="D363">
        <v>2905010001</v>
      </c>
      <c r="E363" t="s">
        <v>16</v>
      </c>
      <c r="G363">
        <v>0</v>
      </c>
      <c r="I363" s="10">
        <v>145362</v>
      </c>
      <c r="K363" s="10">
        <f t="shared" si="5"/>
        <v>-145362</v>
      </c>
    </row>
    <row r="364" spans="1:11" x14ac:dyDescent="0.25">
      <c r="A364" t="s">
        <v>279</v>
      </c>
      <c r="C364">
        <v>2600</v>
      </c>
      <c r="D364">
        <v>2905022005</v>
      </c>
      <c r="E364" t="s">
        <v>52</v>
      </c>
      <c r="G364">
        <v>0</v>
      </c>
      <c r="I364">
        <v>0</v>
      </c>
      <c r="K364" s="10">
        <f t="shared" si="5"/>
        <v>0</v>
      </c>
    </row>
    <row r="365" spans="1:11" x14ac:dyDescent="0.25">
      <c r="A365" t="s">
        <v>392</v>
      </c>
      <c r="C365">
        <v>2600</v>
      </c>
      <c r="D365">
        <v>2905028001</v>
      </c>
      <c r="E365" t="s">
        <v>72</v>
      </c>
      <c r="G365">
        <v>0</v>
      </c>
      <c r="I365" s="10">
        <v>529192.75</v>
      </c>
      <c r="K365" s="10">
        <f t="shared" si="5"/>
        <v>-529192.75</v>
      </c>
    </row>
    <row r="366" spans="1:11" x14ac:dyDescent="0.25">
      <c r="A366" t="s">
        <v>876</v>
      </c>
      <c r="C366">
        <v>2600</v>
      </c>
      <c r="D366">
        <v>1301190006</v>
      </c>
      <c r="E366" t="s">
        <v>787</v>
      </c>
      <c r="G366">
        <v>0</v>
      </c>
      <c r="I366" s="10">
        <v>3638251.18</v>
      </c>
      <c r="K366" s="10">
        <f t="shared" si="5"/>
        <v>-3638251.18</v>
      </c>
    </row>
    <row r="367" spans="1:11" x14ac:dyDescent="0.25">
      <c r="A367" t="s">
        <v>877</v>
      </c>
      <c r="C367">
        <v>2810</v>
      </c>
      <c r="D367">
        <v>1301080004</v>
      </c>
      <c r="E367" t="s">
        <v>78</v>
      </c>
      <c r="G367" s="10">
        <v>1080484.73</v>
      </c>
      <c r="I367">
        <v>0</v>
      </c>
      <c r="K367" s="10">
        <f t="shared" si="5"/>
        <v>1080484.73</v>
      </c>
    </row>
    <row r="368" spans="1:11" x14ac:dyDescent="0.25">
      <c r="A368" t="s">
        <v>368</v>
      </c>
      <c r="C368">
        <v>2810</v>
      </c>
      <c r="D368">
        <v>1301080003</v>
      </c>
      <c r="E368" t="s">
        <v>60</v>
      </c>
      <c r="G368">
        <v>0</v>
      </c>
      <c r="I368">
        <v>0</v>
      </c>
      <c r="K368" s="10">
        <f t="shared" si="5"/>
        <v>0</v>
      </c>
    </row>
    <row r="369" spans="1:11" x14ac:dyDescent="0.25">
      <c r="A369" t="s">
        <v>267</v>
      </c>
      <c r="C369">
        <v>2810</v>
      </c>
      <c r="D369">
        <v>1301110001</v>
      </c>
      <c r="E369" t="s">
        <v>12</v>
      </c>
      <c r="G369">
        <v>0</v>
      </c>
      <c r="I369">
        <v>0</v>
      </c>
      <c r="K369" s="10">
        <f t="shared" si="5"/>
        <v>0</v>
      </c>
    </row>
    <row r="370" spans="1:11" x14ac:dyDescent="0.25">
      <c r="A370" t="s">
        <v>379</v>
      </c>
      <c r="C370">
        <v>2810</v>
      </c>
      <c r="D370">
        <v>2905028015</v>
      </c>
      <c r="E370" t="s">
        <v>82</v>
      </c>
      <c r="G370">
        <v>0</v>
      </c>
      <c r="I370">
        <v>0</v>
      </c>
      <c r="K370" s="10">
        <f t="shared" si="5"/>
        <v>0</v>
      </c>
    </row>
    <row r="371" spans="1:11" x14ac:dyDescent="0.25">
      <c r="A371" t="s">
        <v>220</v>
      </c>
      <c r="C371">
        <v>2810</v>
      </c>
      <c r="D371">
        <v>2905028014</v>
      </c>
      <c r="E371" t="s">
        <v>62</v>
      </c>
      <c r="G371">
        <v>0</v>
      </c>
      <c r="I371" s="10">
        <v>364249.41</v>
      </c>
      <c r="K371" s="10">
        <f t="shared" si="5"/>
        <v>-364249.41</v>
      </c>
    </row>
    <row r="372" spans="1:11" x14ac:dyDescent="0.25">
      <c r="A372" t="s">
        <v>217</v>
      </c>
      <c r="C372">
        <v>2810</v>
      </c>
      <c r="D372">
        <v>1301080020</v>
      </c>
      <c r="E372" t="s">
        <v>259</v>
      </c>
      <c r="G372">
        <v>0</v>
      </c>
      <c r="I372">
        <v>0</v>
      </c>
      <c r="K372" s="10">
        <f t="shared" si="5"/>
        <v>0</v>
      </c>
    </row>
    <row r="373" spans="1:11" x14ac:dyDescent="0.25">
      <c r="A373" t="s">
        <v>376</v>
      </c>
      <c r="C373">
        <v>2810</v>
      </c>
      <c r="D373">
        <v>1301080021</v>
      </c>
      <c r="E373" t="s">
        <v>88</v>
      </c>
      <c r="G373">
        <v>0</v>
      </c>
      <c r="I373">
        <v>0</v>
      </c>
      <c r="K373" s="10">
        <f t="shared" si="5"/>
        <v>0</v>
      </c>
    </row>
    <row r="374" spans="1:11" x14ac:dyDescent="0.25">
      <c r="A374" t="s">
        <v>270</v>
      </c>
      <c r="C374">
        <v>2810</v>
      </c>
      <c r="D374">
        <v>2905010001</v>
      </c>
      <c r="E374" t="s">
        <v>16</v>
      </c>
      <c r="G374">
        <v>0</v>
      </c>
      <c r="I374" s="10">
        <v>41244</v>
      </c>
      <c r="K374" s="10">
        <f t="shared" si="5"/>
        <v>-41244</v>
      </c>
    </row>
    <row r="375" spans="1:11" x14ac:dyDescent="0.25">
      <c r="A375" t="s">
        <v>371</v>
      </c>
      <c r="C375">
        <v>2810</v>
      </c>
      <c r="D375">
        <v>2905022005</v>
      </c>
      <c r="E375" t="s">
        <v>52</v>
      </c>
      <c r="G375">
        <v>0</v>
      </c>
      <c r="I375">
        <v>0</v>
      </c>
      <c r="K375" s="10">
        <f t="shared" si="5"/>
        <v>0</v>
      </c>
    </row>
    <row r="376" spans="1:11" x14ac:dyDescent="0.25">
      <c r="A376" t="s">
        <v>878</v>
      </c>
      <c r="C376">
        <v>2810</v>
      </c>
      <c r="D376">
        <v>2905028001</v>
      </c>
      <c r="E376" t="s">
        <v>72</v>
      </c>
      <c r="G376">
        <v>0</v>
      </c>
      <c r="I376" s="10">
        <v>978967.36</v>
      </c>
      <c r="K376" s="10">
        <f t="shared" si="5"/>
        <v>-978967.36</v>
      </c>
    </row>
    <row r="377" spans="1:11" x14ac:dyDescent="0.25">
      <c r="A377" t="s">
        <v>879</v>
      </c>
      <c r="C377">
        <v>2900</v>
      </c>
      <c r="D377">
        <v>1301190206</v>
      </c>
      <c r="E377" t="s">
        <v>880</v>
      </c>
      <c r="G377">
        <v>0</v>
      </c>
      <c r="I377" s="10">
        <v>47274741.020000003</v>
      </c>
      <c r="K377" s="10">
        <f t="shared" si="5"/>
        <v>-47274741.020000003</v>
      </c>
    </row>
    <row r="378" spans="1:11" x14ac:dyDescent="0.25">
      <c r="A378" t="s">
        <v>881</v>
      </c>
      <c r="C378">
        <v>2900</v>
      </c>
      <c r="D378">
        <v>1301190208</v>
      </c>
      <c r="E378" t="s">
        <v>831</v>
      </c>
      <c r="G378" s="10">
        <v>8646981.8100000005</v>
      </c>
      <c r="I378">
        <v>0</v>
      </c>
      <c r="K378" s="10">
        <f t="shared" si="5"/>
        <v>8646981.8100000005</v>
      </c>
    </row>
    <row r="379" spans="1:11" x14ac:dyDescent="0.25">
      <c r="A379" t="s">
        <v>296</v>
      </c>
      <c r="C379">
        <v>2900</v>
      </c>
      <c r="D379">
        <v>1301110001</v>
      </c>
      <c r="E379" t="s">
        <v>12</v>
      </c>
      <c r="G379" s="10">
        <v>31578.31</v>
      </c>
      <c r="I379">
        <v>0</v>
      </c>
      <c r="K379" s="10">
        <f t="shared" si="5"/>
        <v>31578.31</v>
      </c>
    </row>
    <row r="380" spans="1:11" x14ac:dyDescent="0.25">
      <c r="A380" t="s">
        <v>353</v>
      </c>
      <c r="C380">
        <v>2900</v>
      </c>
      <c r="D380">
        <v>2905028016</v>
      </c>
      <c r="E380" t="s">
        <v>22</v>
      </c>
      <c r="G380">
        <v>0</v>
      </c>
      <c r="I380" s="10">
        <v>10026.69</v>
      </c>
      <c r="K380" s="10">
        <f t="shared" si="5"/>
        <v>-10026.69</v>
      </c>
    </row>
    <row r="381" spans="1:11" x14ac:dyDescent="0.25">
      <c r="A381" t="s">
        <v>882</v>
      </c>
      <c r="C381">
        <v>2900</v>
      </c>
      <c r="D381">
        <v>2905028014</v>
      </c>
      <c r="E381" t="s">
        <v>62</v>
      </c>
      <c r="G381">
        <v>0</v>
      </c>
      <c r="I381" s="10">
        <v>2960088.54</v>
      </c>
      <c r="K381" s="10">
        <f t="shared" si="5"/>
        <v>-2960088.54</v>
      </c>
    </row>
    <row r="382" spans="1:11" x14ac:dyDescent="0.25">
      <c r="A382" t="s">
        <v>883</v>
      </c>
      <c r="C382">
        <v>2900</v>
      </c>
      <c r="D382">
        <v>1301080020</v>
      </c>
      <c r="E382" t="s">
        <v>259</v>
      </c>
      <c r="G382" s="10">
        <v>29982.41</v>
      </c>
      <c r="I382">
        <v>0</v>
      </c>
      <c r="K382" s="10">
        <f t="shared" si="5"/>
        <v>29982.41</v>
      </c>
    </row>
    <row r="383" spans="1:11" x14ac:dyDescent="0.25">
      <c r="A383" t="s">
        <v>884</v>
      </c>
      <c r="C383">
        <v>2900</v>
      </c>
      <c r="D383">
        <v>2905028008</v>
      </c>
      <c r="E383" t="s">
        <v>632</v>
      </c>
      <c r="G383">
        <v>0</v>
      </c>
      <c r="I383">
        <v>0</v>
      </c>
      <c r="K383" s="10">
        <f t="shared" si="5"/>
        <v>0</v>
      </c>
    </row>
    <row r="384" spans="1:11" x14ac:dyDescent="0.25">
      <c r="A384" t="s">
        <v>293</v>
      </c>
      <c r="C384">
        <v>2900</v>
      </c>
      <c r="D384">
        <v>2905010001</v>
      </c>
      <c r="E384" t="s">
        <v>16</v>
      </c>
      <c r="G384">
        <v>0</v>
      </c>
      <c r="I384" s="10">
        <v>19822.84</v>
      </c>
      <c r="K384" s="10">
        <f t="shared" si="5"/>
        <v>-19822.84</v>
      </c>
    </row>
    <row r="385" spans="1:11" x14ac:dyDescent="0.25">
      <c r="A385" t="s">
        <v>885</v>
      </c>
      <c r="C385">
        <v>3000</v>
      </c>
      <c r="D385">
        <v>1301113102</v>
      </c>
      <c r="E385" t="s">
        <v>886</v>
      </c>
      <c r="G385" s="11">
        <v>92135</v>
      </c>
      <c r="I385">
        <v>0</v>
      </c>
      <c r="K385" s="10">
        <f t="shared" si="5"/>
        <v>92135</v>
      </c>
    </row>
    <row r="386" spans="1:11" x14ac:dyDescent="0.25">
      <c r="A386" t="s">
        <v>887</v>
      </c>
      <c r="C386">
        <v>3000</v>
      </c>
      <c r="D386">
        <v>1301111100</v>
      </c>
      <c r="E386" t="s">
        <v>888</v>
      </c>
      <c r="G386">
        <v>0</v>
      </c>
      <c r="I386" s="11">
        <v>559743</v>
      </c>
      <c r="K386" s="10">
        <f t="shared" si="5"/>
        <v>-559743</v>
      </c>
    </row>
    <row r="387" spans="1:11" x14ac:dyDescent="0.25">
      <c r="A387" t="s">
        <v>889</v>
      </c>
      <c r="C387">
        <v>3000</v>
      </c>
      <c r="D387">
        <v>2905031201</v>
      </c>
      <c r="E387" t="s">
        <v>890</v>
      </c>
      <c r="G387">
        <v>0</v>
      </c>
      <c r="I387" s="11">
        <v>58695994</v>
      </c>
      <c r="K387" s="10">
        <f t="shared" si="5"/>
        <v>-58695994</v>
      </c>
    </row>
    <row r="388" spans="1:11" x14ac:dyDescent="0.25">
      <c r="A388" t="s">
        <v>891</v>
      </c>
      <c r="C388">
        <v>3000</v>
      </c>
      <c r="D388">
        <v>2905031104</v>
      </c>
      <c r="E388" t="s">
        <v>892</v>
      </c>
      <c r="G388" s="11">
        <v>1468299</v>
      </c>
      <c r="I388">
        <v>0</v>
      </c>
      <c r="K388" s="10">
        <f t="shared" si="5"/>
        <v>1468299</v>
      </c>
    </row>
    <row r="389" spans="1:11" x14ac:dyDescent="0.25">
      <c r="A389" t="s">
        <v>893</v>
      </c>
      <c r="C389">
        <v>3100</v>
      </c>
      <c r="D389">
        <v>1301111250</v>
      </c>
      <c r="E389" t="s">
        <v>707</v>
      </c>
      <c r="G389">
        <v>0</v>
      </c>
      <c r="I389" s="11">
        <v>51731517</v>
      </c>
      <c r="K389" s="10">
        <f t="shared" si="5"/>
        <v>-51731517</v>
      </c>
    </row>
    <row r="390" spans="1:11" x14ac:dyDescent="0.25">
      <c r="A390" t="s">
        <v>894</v>
      </c>
      <c r="C390">
        <v>3100</v>
      </c>
      <c r="D390">
        <v>1301080028</v>
      </c>
      <c r="E390" t="s">
        <v>895</v>
      </c>
      <c r="G390">
        <v>0</v>
      </c>
      <c r="I390">
        <v>0</v>
      </c>
      <c r="K390" s="10">
        <f t="shared" si="5"/>
        <v>0</v>
      </c>
    </row>
    <row r="391" spans="1:11" x14ac:dyDescent="0.25">
      <c r="A391" t="s">
        <v>896</v>
      </c>
      <c r="C391">
        <v>3100</v>
      </c>
      <c r="D391">
        <v>1301080001</v>
      </c>
      <c r="E391" t="s">
        <v>206</v>
      </c>
      <c r="G391">
        <v>0</v>
      </c>
      <c r="I391">
        <v>0</v>
      </c>
      <c r="K391" s="10">
        <f t="shared" ref="K391:K418" si="6">G391-I391</f>
        <v>0</v>
      </c>
    </row>
    <row r="392" spans="1:11" x14ac:dyDescent="0.25">
      <c r="A392" t="s">
        <v>897</v>
      </c>
      <c r="C392">
        <v>3100</v>
      </c>
      <c r="D392">
        <v>1301150001</v>
      </c>
      <c r="E392" t="s">
        <v>18</v>
      </c>
      <c r="G392" s="11">
        <v>4654</v>
      </c>
      <c r="I392">
        <v>0</v>
      </c>
      <c r="K392" s="10">
        <f t="shared" si="6"/>
        <v>4654</v>
      </c>
    </row>
    <row r="393" spans="1:11" x14ac:dyDescent="0.25">
      <c r="A393" t="s">
        <v>898</v>
      </c>
      <c r="C393">
        <v>3100</v>
      </c>
      <c r="D393">
        <v>1301150002</v>
      </c>
      <c r="E393" t="s">
        <v>605</v>
      </c>
      <c r="G393" s="11">
        <v>1274298</v>
      </c>
      <c r="I393">
        <v>0</v>
      </c>
      <c r="K393" s="10">
        <f t="shared" si="6"/>
        <v>1274298</v>
      </c>
    </row>
    <row r="394" spans="1:11" x14ac:dyDescent="0.25">
      <c r="A394" t="s">
        <v>899</v>
      </c>
      <c r="C394">
        <v>3100</v>
      </c>
      <c r="D394">
        <v>1301170001</v>
      </c>
      <c r="E394" t="s">
        <v>677</v>
      </c>
      <c r="G394" s="11">
        <v>2359664</v>
      </c>
      <c r="I394">
        <v>0</v>
      </c>
      <c r="K394" s="10">
        <f t="shared" si="6"/>
        <v>2359664</v>
      </c>
    </row>
    <row r="395" spans="1:11" x14ac:dyDescent="0.25">
      <c r="A395" t="s">
        <v>900</v>
      </c>
      <c r="C395">
        <v>3100</v>
      </c>
      <c r="D395">
        <v>1301130001</v>
      </c>
      <c r="E395" t="s">
        <v>679</v>
      </c>
      <c r="G395" s="11">
        <v>39325803</v>
      </c>
      <c r="I395">
        <v>0</v>
      </c>
      <c r="K395" s="10">
        <f t="shared" si="6"/>
        <v>39325803</v>
      </c>
    </row>
    <row r="396" spans="1:11" x14ac:dyDescent="0.25">
      <c r="A396" t="s">
        <v>901</v>
      </c>
      <c r="C396">
        <v>3100</v>
      </c>
      <c r="D396">
        <v>1301140001</v>
      </c>
      <c r="E396" t="s">
        <v>666</v>
      </c>
      <c r="G396" s="11">
        <v>7181621</v>
      </c>
      <c r="I396">
        <v>0</v>
      </c>
      <c r="K396" s="10">
        <f t="shared" si="6"/>
        <v>7181621</v>
      </c>
    </row>
    <row r="397" spans="1:11" x14ac:dyDescent="0.25">
      <c r="A397" t="s">
        <v>902</v>
      </c>
      <c r="C397">
        <v>3100</v>
      </c>
      <c r="D397">
        <v>1301110001</v>
      </c>
      <c r="E397" t="s">
        <v>12</v>
      </c>
      <c r="G397" s="11">
        <v>143053899</v>
      </c>
      <c r="I397">
        <v>0</v>
      </c>
      <c r="K397" s="10">
        <f t="shared" si="6"/>
        <v>143053899</v>
      </c>
    </row>
    <row r="398" spans="1:11" x14ac:dyDescent="0.25">
      <c r="A398" t="s">
        <v>903</v>
      </c>
      <c r="C398">
        <v>3100</v>
      </c>
      <c r="D398">
        <v>2905028017</v>
      </c>
      <c r="E398" t="s">
        <v>904</v>
      </c>
      <c r="G398">
        <v>0</v>
      </c>
      <c r="I398" s="11">
        <v>1928245</v>
      </c>
      <c r="K398" s="10">
        <f t="shared" si="6"/>
        <v>-1928245</v>
      </c>
    </row>
    <row r="399" spans="1:11" x14ac:dyDescent="0.25">
      <c r="A399" t="s">
        <v>905</v>
      </c>
      <c r="C399">
        <v>3100</v>
      </c>
      <c r="D399">
        <v>1301080035</v>
      </c>
      <c r="E399" t="s">
        <v>758</v>
      </c>
      <c r="G399" s="11">
        <v>1272394</v>
      </c>
      <c r="I399">
        <v>0</v>
      </c>
      <c r="K399" s="10">
        <f t="shared" si="6"/>
        <v>1272394</v>
      </c>
    </row>
    <row r="400" spans="1:11" x14ac:dyDescent="0.25">
      <c r="A400" t="s">
        <v>906</v>
      </c>
      <c r="C400">
        <v>3100</v>
      </c>
      <c r="D400">
        <v>1301113160</v>
      </c>
      <c r="E400" t="s">
        <v>907</v>
      </c>
      <c r="G400">
        <v>0</v>
      </c>
      <c r="I400">
        <v>0</v>
      </c>
      <c r="K400" s="10">
        <f t="shared" si="6"/>
        <v>0</v>
      </c>
    </row>
    <row r="401" spans="1:11" x14ac:dyDescent="0.25">
      <c r="A401" t="s">
        <v>908</v>
      </c>
      <c r="C401">
        <v>3100</v>
      </c>
      <c r="D401">
        <v>1301080022</v>
      </c>
      <c r="E401" t="s">
        <v>28</v>
      </c>
      <c r="G401">
        <v>0</v>
      </c>
      <c r="I401">
        <v>0</v>
      </c>
      <c r="K401" s="10">
        <f t="shared" si="6"/>
        <v>0</v>
      </c>
    </row>
    <row r="402" spans="1:11" x14ac:dyDescent="0.25">
      <c r="A402" t="s">
        <v>909</v>
      </c>
      <c r="C402">
        <v>3100</v>
      </c>
      <c r="D402">
        <v>1301080038</v>
      </c>
      <c r="E402" t="s">
        <v>910</v>
      </c>
      <c r="G402" s="11">
        <v>1512431</v>
      </c>
      <c r="I402">
        <v>0</v>
      </c>
      <c r="K402" s="10">
        <f t="shared" si="6"/>
        <v>1512431</v>
      </c>
    </row>
    <row r="403" spans="1:11" x14ac:dyDescent="0.25">
      <c r="A403" t="s">
        <v>911</v>
      </c>
      <c r="C403">
        <v>3100</v>
      </c>
      <c r="D403">
        <v>1301080023</v>
      </c>
      <c r="E403" t="s">
        <v>628</v>
      </c>
      <c r="G403" s="11">
        <v>10425574</v>
      </c>
      <c r="I403">
        <v>0</v>
      </c>
      <c r="K403" s="10">
        <f t="shared" si="6"/>
        <v>10425574</v>
      </c>
    </row>
    <row r="404" spans="1:11" x14ac:dyDescent="0.25">
      <c r="A404" t="s">
        <v>912</v>
      </c>
      <c r="C404">
        <v>3100</v>
      </c>
      <c r="D404">
        <v>1301113140</v>
      </c>
      <c r="E404" t="s">
        <v>683</v>
      </c>
      <c r="G404" s="11">
        <v>1829730</v>
      </c>
      <c r="I404">
        <v>0</v>
      </c>
      <c r="K404" s="10">
        <f t="shared" si="6"/>
        <v>1829730</v>
      </c>
    </row>
    <row r="405" spans="1:11" x14ac:dyDescent="0.25">
      <c r="A405" t="s">
        <v>913</v>
      </c>
      <c r="C405">
        <v>3100</v>
      </c>
      <c r="D405">
        <v>1301113141</v>
      </c>
      <c r="E405" t="s">
        <v>914</v>
      </c>
      <c r="G405" s="11">
        <v>3495997</v>
      </c>
      <c r="I405">
        <v>0</v>
      </c>
      <c r="K405" s="10">
        <f t="shared" si="6"/>
        <v>3495997</v>
      </c>
    </row>
    <row r="406" spans="1:11" x14ac:dyDescent="0.25">
      <c r="A406" t="s">
        <v>915</v>
      </c>
      <c r="C406">
        <v>3100</v>
      </c>
      <c r="D406">
        <v>1301113110</v>
      </c>
      <c r="E406" t="s">
        <v>916</v>
      </c>
      <c r="G406" s="11">
        <v>2314833</v>
      </c>
      <c r="I406">
        <v>0</v>
      </c>
      <c r="K406" s="10">
        <f t="shared" si="6"/>
        <v>2314833</v>
      </c>
    </row>
    <row r="407" spans="1:11" x14ac:dyDescent="0.25">
      <c r="A407" t="s">
        <v>917</v>
      </c>
      <c r="C407">
        <v>3100</v>
      </c>
      <c r="D407">
        <v>1301080036</v>
      </c>
      <c r="E407" t="s">
        <v>773</v>
      </c>
      <c r="G407" s="11">
        <v>1434435</v>
      </c>
      <c r="I407">
        <v>0</v>
      </c>
      <c r="K407" s="10">
        <f t="shared" si="6"/>
        <v>1434435</v>
      </c>
    </row>
    <row r="408" spans="1:11" x14ac:dyDescent="0.25">
      <c r="A408" t="s">
        <v>918</v>
      </c>
      <c r="C408">
        <v>3100</v>
      </c>
      <c r="D408">
        <v>2905031250</v>
      </c>
      <c r="E408" t="s">
        <v>919</v>
      </c>
      <c r="G408">
        <v>0</v>
      </c>
      <c r="I408" s="11">
        <v>1670130608</v>
      </c>
      <c r="K408" s="10">
        <f t="shared" si="6"/>
        <v>-1670130608</v>
      </c>
    </row>
    <row r="409" spans="1:11" x14ac:dyDescent="0.25">
      <c r="A409" t="s">
        <v>920</v>
      </c>
      <c r="C409">
        <v>3100</v>
      </c>
      <c r="D409">
        <v>2905021003</v>
      </c>
      <c r="E409" t="s">
        <v>636</v>
      </c>
      <c r="G409">
        <v>0</v>
      </c>
      <c r="I409">
        <v>0</v>
      </c>
      <c r="K409" s="10">
        <f t="shared" si="6"/>
        <v>0</v>
      </c>
    </row>
    <row r="410" spans="1:11" x14ac:dyDescent="0.25">
      <c r="A410" t="s">
        <v>921</v>
      </c>
      <c r="C410">
        <v>3100</v>
      </c>
      <c r="D410">
        <v>2905021002</v>
      </c>
      <c r="E410" t="s">
        <v>922</v>
      </c>
      <c r="G410">
        <v>0</v>
      </c>
      <c r="I410">
        <v>0</v>
      </c>
      <c r="K410" s="10">
        <f t="shared" si="6"/>
        <v>0</v>
      </c>
    </row>
    <row r="411" spans="1:11" x14ac:dyDescent="0.25">
      <c r="A411" t="s">
        <v>923</v>
      </c>
      <c r="C411">
        <v>3100</v>
      </c>
      <c r="D411">
        <v>2905021010</v>
      </c>
      <c r="E411" t="s">
        <v>922</v>
      </c>
      <c r="G411" s="11">
        <v>37878</v>
      </c>
      <c r="I411">
        <v>0</v>
      </c>
      <c r="K411" s="10">
        <f t="shared" si="6"/>
        <v>37878</v>
      </c>
    </row>
    <row r="412" spans="1:11" x14ac:dyDescent="0.25">
      <c r="A412" t="s">
        <v>924</v>
      </c>
      <c r="C412">
        <v>3100</v>
      </c>
      <c r="D412">
        <v>2905010001</v>
      </c>
      <c r="E412" t="s">
        <v>16</v>
      </c>
      <c r="G412" s="11">
        <v>15265351257</v>
      </c>
      <c r="I412">
        <v>0</v>
      </c>
      <c r="K412" s="10">
        <f t="shared" si="6"/>
        <v>15265351257</v>
      </c>
    </row>
    <row r="413" spans="1:11" x14ac:dyDescent="0.25">
      <c r="A413" t="s">
        <v>925</v>
      </c>
      <c r="C413">
        <v>3100</v>
      </c>
      <c r="D413">
        <v>2905024001</v>
      </c>
      <c r="E413" t="s">
        <v>10</v>
      </c>
      <c r="G413">
        <v>0</v>
      </c>
      <c r="I413" s="11">
        <v>54411758</v>
      </c>
      <c r="K413" s="10">
        <f t="shared" si="6"/>
        <v>-54411758</v>
      </c>
    </row>
    <row r="414" spans="1:11" x14ac:dyDescent="0.25">
      <c r="A414" t="s">
        <v>926</v>
      </c>
      <c r="C414">
        <v>3100</v>
      </c>
      <c r="D414">
        <v>2905036001</v>
      </c>
      <c r="E414" t="s">
        <v>927</v>
      </c>
      <c r="G414">
        <v>0</v>
      </c>
      <c r="I414">
        <v>0</v>
      </c>
      <c r="K414" s="10">
        <f t="shared" si="6"/>
        <v>0</v>
      </c>
    </row>
    <row r="415" spans="1:11" x14ac:dyDescent="0.25">
      <c r="A415" t="s">
        <v>928</v>
      </c>
      <c r="C415">
        <v>3100</v>
      </c>
      <c r="D415">
        <v>2905032001</v>
      </c>
      <c r="E415" t="s">
        <v>701</v>
      </c>
      <c r="G415" s="11">
        <v>315775</v>
      </c>
      <c r="I415">
        <v>0</v>
      </c>
      <c r="K415" s="10">
        <f t="shared" si="6"/>
        <v>315775</v>
      </c>
    </row>
    <row r="416" spans="1:11" x14ac:dyDescent="0.25">
      <c r="A416" t="s">
        <v>929</v>
      </c>
      <c r="C416">
        <v>3110</v>
      </c>
      <c r="D416">
        <v>1301113100</v>
      </c>
      <c r="E416" t="s">
        <v>601</v>
      </c>
      <c r="G416">
        <v>0</v>
      </c>
      <c r="I416">
        <v>0</v>
      </c>
      <c r="K416" s="10">
        <f t="shared" si="6"/>
        <v>0</v>
      </c>
    </row>
    <row r="417" spans="1:14" x14ac:dyDescent="0.25">
      <c r="A417" t="s">
        <v>930</v>
      </c>
      <c r="C417">
        <v>3140</v>
      </c>
      <c r="D417">
        <v>1301140001</v>
      </c>
      <c r="E417" t="s">
        <v>666</v>
      </c>
      <c r="G417" s="11">
        <v>8830996</v>
      </c>
      <c r="I417">
        <v>0</v>
      </c>
      <c r="K417" s="10">
        <f t="shared" si="6"/>
        <v>8830996</v>
      </c>
    </row>
    <row r="418" spans="1:14" x14ac:dyDescent="0.25">
      <c r="A418" t="s">
        <v>931</v>
      </c>
      <c r="C418">
        <v>3140</v>
      </c>
      <c r="D418">
        <v>2905033001</v>
      </c>
      <c r="E418" t="s">
        <v>703</v>
      </c>
      <c r="G418">
        <v>0</v>
      </c>
      <c r="I418" s="11">
        <v>111452</v>
      </c>
      <c r="K418" s="10">
        <f t="shared" si="6"/>
        <v>-111452</v>
      </c>
    </row>
    <row r="420" spans="1:14" x14ac:dyDescent="0.25">
      <c r="B420" t="s">
        <v>932</v>
      </c>
      <c r="G420" s="10">
        <v>352942.47</v>
      </c>
      <c r="I420">
        <v>513.57000000000005</v>
      </c>
      <c r="K420" s="10">
        <f>SUM(K362:K418)</f>
        <v>13607838541.299999</v>
      </c>
    </row>
    <row r="421" spans="1:14" x14ac:dyDescent="0.25">
      <c r="G421" s="10">
        <v>49025422.479999997</v>
      </c>
      <c r="I421" s="10">
        <v>28294181.27</v>
      </c>
    </row>
    <row r="422" spans="1:14" x14ac:dyDescent="0.25">
      <c r="G422" s="11">
        <v>15825223524</v>
      </c>
      <c r="I422" s="11">
        <v>22600743017</v>
      </c>
    </row>
    <row r="423" spans="1:14" x14ac:dyDescent="0.25">
      <c r="G423" s="10">
        <v>164066923.30000001</v>
      </c>
      <c r="I423" s="10">
        <v>612488541.73000002</v>
      </c>
    </row>
    <row r="425" spans="1:14" x14ac:dyDescent="0.25">
      <c r="A425" t="s">
        <v>933</v>
      </c>
    </row>
    <row r="426" spans="1:14" x14ac:dyDescent="0.25">
      <c r="A426" t="s">
        <v>934</v>
      </c>
    </row>
    <row r="427" spans="1:14" x14ac:dyDescent="0.25">
      <c r="A427" t="s">
        <v>935</v>
      </c>
    </row>
    <row r="429" spans="1:14" x14ac:dyDescent="0.25">
      <c r="C429" t="s">
        <v>594</v>
      </c>
      <c r="D429" t="s">
        <v>936</v>
      </c>
      <c r="F429" t="s">
        <v>937</v>
      </c>
      <c r="H429" t="s">
        <v>938</v>
      </c>
      <c r="J429" t="s">
        <v>939</v>
      </c>
      <c r="K429" t="s">
        <v>940</v>
      </c>
      <c r="L429" t="s">
        <v>941</v>
      </c>
      <c r="M429" t="s">
        <v>942</v>
      </c>
      <c r="N429" t="s">
        <v>943</v>
      </c>
    </row>
    <row r="431" spans="1:14" x14ac:dyDescent="0.25">
      <c r="C431">
        <v>1000</v>
      </c>
      <c r="D431" t="s">
        <v>944</v>
      </c>
      <c r="F431" s="10">
        <v>933735.08</v>
      </c>
      <c r="H431" s="10">
        <v>1763504.29</v>
      </c>
      <c r="J431" s="10">
        <v>490869841.76999998</v>
      </c>
      <c r="K431" s="10">
        <v>509979684.01999998</v>
      </c>
      <c r="L431" s="10">
        <v>54167023.850000001</v>
      </c>
      <c r="M431" s="10">
        <v>16479525.810000001</v>
      </c>
      <c r="N431" t="s">
        <v>945</v>
      </c>
    </row>
    <row r="432" spans="1:14" x14ac:dyDescent="0.25">
      <c r="C432">
        <v>1012</v>
      </c>
      <c r="D432" t="s">
        <v>946</v>
      </c>
      <c r="F432">
        <v>0</v>
      </c>
      <c r="H432">
        <v>0</v>
      </c>
      <c r="J432">
        <v>577.79999999999995</v>
      </c>
      <c r="K432" s="10">
        <v>44246.86</v>
      </c>
      <c r="L432" s="10">
        <v>43875466.909999996</v>
      </c>
      <c r="M432" s="10">
        <v>45018397.090000004</v>
      </c>
      <c r="N432" t="s">
        <v>945</v>
      </c>
    </row>
    <row r="433" spans="3:14" x14ac:dyDescent="0.25">
      <c r="C433">
        <v>1100</v>
      </c>
      <c r="D433" t="s">
        <v>947</v>
      </c>
      <c r="F433">
        <v>164.69</v>
      </c>
      <c r="H433" s="10">
        <v>29968.84</v>
      </c>
      <c r="J433" s="10">
        <v>305057131.69</v>
      </c>
      <c r="K433" s="10">
        <v>304005641.73000002</v>
      </c>
      <c r="L433" s="10">
        <v>3157207.4</v>
      </c>
      <c r="M433" s="10">
        <v>614387.18000000005</v>
      </c>
      <c r="N433" t="s">
        <v>945</v>
      </c>
    </row>
    <row r="434" spans="3:14" x14ac:dyDescent="0.25">
      <c r="C434">
        <v>1120</v>
      </c>
      <c r="D434" t="s">
        <v>948</v>
      </c>
      <c r="F434">
        <v>0</v>
      </c>
      <c r="H434">
        <v>0</v>
      </c>
      <c r="J434" s="11">
        <v>7099056</v>
      </c>
      <c r="K434" s="11">
        <v>7099056</v>
      </c>
      <c r="L434" s="11">
        <v>887382</v>
      </c>
      <c r="M434" s="11">
        <v>3873503</v>
      </c>
      <c r="N434" t="s">
        <v>949</v>
      </c>
    </row>
    <row r="435" spans="3:14" x14ac:dyDescent="0.25">
      <c r="C435">
        <v>1130</v>
      </c>
      <c r="D435" t="s">
        <v>950</v>
      </c>
      <c r="F435">
        <v>0</v>
      </c>
      <c r="H435">
        <v>0</v>
      </c>
      <c r="J435" s="11">
        <v>1067153406983</v>
      </c>
      <c r="K435" s="11">
        <v>1016128371317</v>
      </c>
      <c r="L435" s="11">
        <v>33616</v>
      </c>
      <c r="M435" s="11">
        <v>18202840182</v>
      </c>
      <c r="N435" t="s">
        <v>949</v>
      </c>
    </row>
    <row r="436" spans="3:14" x14ac:dyDescent="0.25">
      <c r="C436">
        <v>1150</v>
      </c>
      <c r="D436" t="s">
        <v>951</v>
      </c>
      <c r="F436">
        <v>0</v>
      </c>
      <c r="H436">
        <v>0</v>
      </c>
      <c r="J436" s="11">
        <v>210113379</v>
      </c>
      <c r="K436" s="11">
        <v>280274760</v>
      </c>
      <c r="L436" s="11">
        <v>210743265</v>
      </c>
      <c r="M436" s="11">
        <v>40000000</v>
      </c>
      <c r="N436" t="s">
        <v>949</v>
      </c>
    </row>
    <row r="437" spans="3:14" x14ac:dyDescent="0.25">
      <c r="C437">
        <v>1190</v>
      </c>
      <c r="D437" t="s">
        <v>952</v>
      </c>
      <c r="F437">
        <v>0</v>
      </c>
      <c r="H437">
        <v>0</v>
      </c>
      <c r="J437">
        <v>0</v>
      </c>
      <c r="K437">
        <v>0</v>
      </c>
      <c r="L437">
        <v>0</v>
      </c>
      <c r="M437">
        <v>0</v>
      </c>
      <c r="N437" t="s">
        <v>949</v>
      </c>
    </row>
    <row r="438" spans="3:14" x14ac:dyDescent="0.25">
      <c r="C438">
        <v>1200</v>
      </c>
      <c r="D438" t="s">
        <v>953</v>
      </c>
      <c r="F438" s="10">
        <v>5592.89</v>
      </c>
      <c r="H438" s="10">
        <v>119755.01</v>
      </c>
      <c r="J438" s="10">
        <v>44906200.009999998</v>
      </c>
      <c r="K438" s="10">
        <v>42211199.009999998</v>
      </c>
      <c r="L438" s="10">
        <v>285413.71999999997</v>
      </c>
      <c r="M438" s="10">
        <v>45013999.909999996</v>
      </c>
      <c r="N438" t="s">
        <v>945</v>
      </c>
    </row>
    <row r="439" spans="3:14" x14ac:dyDescent="0.25">
      <c r="C439">
        <v>1250</v>
      </c>
      <c r="D439" t="s">
        <v>954</v>
      </c>
      <c r="F439">
        <v>0</v>
      </c>
      <c r="H439" s="11">
        <v>750388501</v>
      </c>
      <c r="J439" s="11">
        <v>6931529013</v>
      </c>
      <c r="K439" s="11">
        <v>7745901430</v>
      </c>
      <c r="L439" s="11">
        <v>121977588</v>
      </c>
      <c r="M439" s="11">
        <v>2516460015</v>
      </c>
      <c r="N439" t="s">
        <v>949</v>
      </c>
    </row>
    <row r="440" spans="3:14" x14ac:dyDescent="0.25">
      <c r="C440">
        <v>1300</v>
      </c>
      <c r="D440" t="s">
        <v>955</v>
      </c>
      <c r="F440">
        <v>0</v>
      </c>
      <c r="H440">
        <v>0</v>
      </c>
      <c r="J440" s="10">
        <v>876668.5</v>
      </c>
      <c r="K440" s="10">
        <v>883797.73</v>
      </c>
      <c r="L440" s="10">
        <v>352942.47</v>
      </c>
      <c r="M440">
        <v>513.57000000000005</v>
      </c>
      <c r="N440" t="s">
        <v>956</v>
      </c>
    </row>
    <row r="441" spans="3:14" x14ac:dyDescent="0.25">
      <c r="C441">
        <v>1400</v>
      </c>
      <c r="D441" t="s">
        <v>957</v>
      </c>
      <c r="F441">
        <v>0</v>
      </c>
      <c r="H441" s="10">
        <v>13992.87</v>
      </c>
      <c r="J441" s="10">
        <v>532525.46</v>
      </c>
      <c r="K441" s="10">
        <v>584991.47</v>
      </c>
      <c r="L441">
        <v>0</v>
      </c>
      <c r="M441" s="10">
        <v>13992.87</v>
      </c>
      <c r="N441" t="s">
        <v>945</v>
      </c>
    </row>
    <row r="442" spans="3:14" x14ac:dyDescent="0.25">
      <c r="C442">
        <v>1410</v>
      </c>
      <c r="D442" t="s">
        <v>958</v>
      </c>
      <c r="F442">
        <v>0</v>
      </c>
      <c r="H442">
        <v>0</v>
      </c>
      <c r="J442">
        <v>0</v>
      </c>
      <c r="K442">
        <v>0</v>
      </c>
      <c r="L442">
        <v>0</v>
      </c>
      <c r="M442">
        <v>0</v>
      </c>
      <c r="N442" t="s">
        <v>945</v>
      </c>
    </row>
    <row r="443" spans="3:14" x14ac:dyDescent="0.25">
      <c r="C443">
        <v>1500</v>
      </c>
      <c r="D443" t="s">
        <v>959</v>
      </c>
      <c r="F443">
        <v>0</v>
      </c>
      <c r="H443">
        <v>0</v>
      </c>
      <c r="J443" s="10">
        <v>71058.3</v>
      </c>
      <c r="K443" s="10">
        <v>69256.539999999994</v>
      </c>
      <c r="L443" s="10">
        <v>3013.76</v>
      </c>
      <c r="M443" s="10">
        <v>4335652.45</v>
      </c>
      <c r="N443" t="s">
        <v>945</v>
      </c>
    </row>
    <row r="444" spans="3:14" x14ac:dyDescent="0.25">
      <c r="C444">
        <v>1510</v>
      </c>
      <c r="D444" t="s">
        <v>960</v>
      </c>
      <c r="F444">
        <v>0</v>
      </c>
      <c r="H444">
        <v>0</v>
      </c>
      <c r="J444">
        <v>0</v>
      </c>
      <c r="K444">
        <v>0</v>
      </c>
      <c r="L444">
        <v>0</v>
      </c>
      <c r="M444">
        <v>0</v>
      </c>
      <c r="N444" t="s">
        <v>945</v>
      </c>
    </row>
    <row r="445" spans="3:14" x14ac:dyDescent="0.25">
      <c r="C445">
        <v>1550</v>
      </c>
      <c r="D445" t="s">
        <v>959</v>
      </c>
      <c r="F445">
        <v>0</v>
      </c>
      <c r="H445">
        <v>0</v>
      </c>
      <c r="J445">
        <v>0</v>
      </c>
      <c r="K445">
        <v>0</v>
      </c>
      <c r="L445" s="10">
        <v>4335652.45</v>
      </c>
      <c r="M445">
        <v>0</v>
      </c>
      <c r="N445" t="s">
        <v>945</v>
      </c>
    </row>
    <row r="446" spans="3:14" x14ac:dyDescent="0.25">
      <c r="C446">
        <v>1600</v>
      </c>
      <c r="D446" t="s">
        <v>961</v>
      </c>
      <c r="F446">
        <v>398.03</v>
      </c>
      <c r="H446" s="10">
        <v>97799.74</v>
      </c>
      <c r="J446" s="10">
        <v>16271060.65</v>
      </c>
      <c r="K446" s="10">
        <v>17429502.41</v>
      </c>
      <c r="L446" s="10">
        <v>1672663.19</v>
      </c>
      <c r="M446" s="10">
        <v>1697138.54</v>
      </c>
      <c r="N446" t="s">
        <v>945</v>
      </c>
    </row>
    <row r="447" spans="3:14" x14ac:dyDescent="0.25">
      <c r="C447">
        <v>1800</v>
      </c>
      <c r="D447" t="s">
        <v>962</v>
      </c>
      <c r="F447">
        <v>0</v>
      </c>
      <c r="H447" s="10">
        <v>7077.84</v>
      </c>
      <c r="J447" s="10">
        <v>5525479.7699999996</v>
      </c>
      <c r="K447" s="10">
        <v>6103896.9000000004</v>
      </c>
      <c r="L447" s="10">
        <v>356236.44</v>
      </c>
      <c r="M447" s="10">
        <v>293319.09999999998</v>
      </c>
      <c r="N447" t="s">
        <v>945</v>
      </c>
    </row>
    <row r="448" spans="3:14" x14ac:dyDescent="0.25">
      <c r="C448">
        <v>1810</v>
      </c>
      <c r="D448" t="s">
        <v>963</v>
      </c>
      <c r="F448">
        <v>0</v>
      </c>
      <c r="H448">
        <v>0</v>
      </c>
      <c r="J448">
        <v>105</v>
      </c>
      <c r="K448">
        <v>609</v>
      </c>
      <c r="L448">
        <v>0</v>
      </c>
      <c r="M448">
        <v>0</v>
      </c>
      <c r="N448" t="s">
        <v>945</v>
      </c>
    </row>
    <row r="449" spans="3:14" x14ac:dyDescent="0.25">
      <c r="C449">
        <v>1820</v>
      </c>
      <c r="D449" t="s">
        <v>964</v>
      </c>
      <c r="F449">
        <v>0</v>
      </c>
      <c r="H449">
        <v>0</v>
      </c>
      <c r="J449" s="10">
        <v>7972.33</v>
      </c>
      <c r="K449" s="10">
        <v>3004.7</v>
      </c>
      <c r="L449">
        <v>0</v>
      </c>
      <c r="M449">
        <v>0</v>
      </c>
      <c r="N449" t="s">
        <v>945</v>
      </c>
    </row>
    <row r="450" spans="3:14" x14ac:dyDescent="0.25">
      <c r="C450">
        <v>1825</v>
      </c>
      <c r="D450" t="s">
        <v>965</v>
      </c>
      <c r="F450">
        <v>0</v>
      </c>
      <c r="H450">
        <v>0</v>
      </c>
      <c r="J450" s="10">
        <v>1089.82</v>
      </c>
      <c r="K450" s="10">
        <v>1089.82</v>
      </c>
      <c r="L450">
        <v>0</v>
      </c>
      <c r="M450">
        <v>0</v>
      </c>
      <c r="N450" t="s">
        <v>945</v>
      </c>
    </row>
    <row r="451" spans="3:14" x14ac:dyDescent="0.25">
      <c r="C451">
        <v>1830</v>
      </c>
      <c r="D451" t="s">
        <v>966</v>
      </c>
      <c r="F451">
        <v>0</v>
      </c>
      <c r="H451">
        <v>0</v>
      </c>
      <c r="J451" s="10">
        <v>1888.97</v>
      </c>
      <c r="K451" s="10">
        <v>1888.97</v>
      </c>
      <c r="L451">
        <v>609</v>
      </c>
      <c r="M451" s="10">
        <v>20000</v>
      </c>
      <c r="N451" t="s">
        <v>945</v>
      </c>
    </row>
    <row r="452" spans="3:14" x14ac:dyDescent="0.25">
      <c r="C452">
        <v>1840</v>
      </c>
      <c r="D452" t="s">
        <v>967</v>
      </c>
      <c r="F452" s="10">
        <v>3072.08</v>
      </c>
      <c r="H452" s="10">
        <v>6941.34</v>
      </c>
      <c r="J452" s="10">
        <v>890964.79</v>
      </c>
      <c r="K452" s="10">
        <v>899253.78</v>
      </c>
      <c r="L452" s="10">
        <v>51015.7</v>
      </c>
      <c r="M452" s="10">
        <v>157510.26999999999</v>
      </c>
      <c r="N452" t="s">
        <v>945</v>
      </c>
    </row>
    <row r="453" spans="3:14" x14ac:dyDescent="0.25">
      <c r="C453">
        <v>1860</v>
      </c>
      <c r="D453" t="s">
        <v>968</v>
      </c>
      <c r="F453">
        <v>0</v>
      </c>
      <c r="H453">
        <v>860.95</v>
      </c>
      <c r="J453" s="10">
        <v>12132.83</v>
      </c>
      <c r="K453" s="10">
        <v>12918.83</v>
      </c>
      <c r="L453">
        <v>0</v>
      </c>
      <c r="M453">
        <v>860.95</v>
      </c>
      <c r="N453" t="s">
        <v>945</v>
      </c>
    </row>
    <row r="454" spans="3:14" x14ac:dyDescent="0.25">
      <c r="C454">
        <v>1870</v>
      </c>
      <c r="D454" t="s">
        <v>969</v>
      </c>
      <c r="F454">
        <v>0</v>
      </c>
      <c r="H454">
        <v>0</v>
      </c>
      <c r="J454">
        <v>0</v>
      </c>
      <c r="K454">
        <v>0</v>
      </c>
      <c r="L454">
        <v>0</v>
      </c>
      <c r="M454">
        <v>0</v>
      </c>
      <c r="N454" t="s">
        <v>949</v>
      </c>
    </row>
    <row r="455" spans="3:14" x14ac:dyDescent="0.25">
      <c r="C455">
        <v>1871</v>
      </c>
      <c r="D455" t="s">
        <v>970</v>
      </c>
      <c r="F455">
        <v>0</v>
      </c>
      <c r="H455">
        <v>0</v>
      </c>
      <c r="J455" s="11">
        <v>3829228</v>
      </c>
      <c r="K455" s="11">
        <v>3820430</v>
      </c>
      <c r="L455">
        <v>0</v>
      </c>
      <c r="M455">
        <v>0</v>
      </c>
      <c r="N455" t="s">
        <v>949</v>
      </c>
    </row>
    <row r="456" spans="3:14" x14ac:dyDescent="0.25">
      <c r="C456">
        <v>2200</v>
      </c>
      <c r="D456" t="s">
        <v>971</v>
      </c>
      <c r="F456" s="10">
        <v>1319019.02</v>
      </c>
      <c r="H456" s="10">
        <v>1228698.7</v>
      </c>
      <c r="J456" s="10">
        <v>90877781.459999993</v>
      </c>
      <c r="K456" s="10">
        <v>90147064.069999993</v>
      </c>
      <c r="L456" s="10">
        <v>2696841.01</v>
      </c>
      <c r="M456" s="10">
        <v>5160463.92</v>
      </c>
      <c r="N456" t="s">
        <v>945</v>
      </c>
    </row>
    <row r="457" spans="3:14" x14ac:dyDescent="0.25">
      <c r="C457">
        <v>2300</v>
      </c>
      <c r="D457" t="s">
        <v>972</v>
      </c>
      <c r="F457">
        <v>0</v>
      </c>
      <c r="H457">
        <v>0</v>
      </c>
      <c r="J457">
        <v>0</v>
      </c>
      <c r="K457">
        <v>0</v>
      </c>
      <c r="L457" s="10">
        <v>49025422.479999997</v>
      </c>
      <c r="M457" s="10">
        <v>28294181.27</v>
      </c>
      <c r="N457" t="s">
        <v>973</v>
      </c>
    </row>
    <row r="458" spans="3:14" x14ac:dyDescent="0.25">
      <c r="C458">
        <v>2400</v>
      </c>
      <c r="D458" t="s">
        <v>974</v>
      </c>
      <c r="F458" s="10">
        <v>14295391.84</v>
      </c>
      <c r="H458" s="10">
        <v>54845086.729999997</v>
      </c>
      <c r="J458" s="10">
        <v>516058351.63999999</v>
      </c>
      <c r="K458" s="10">
        <v>545050659.67999995</v>
      </c>
      <c r="L458" s="10">
        <v>21450530.870000001</v>
      </c>
      <c r="M458" s="10">
        <v>11452035.310000001</v>
      </c>
      <c r="N458" t="s">
        <v>945</v>
      </c>
    </row>
    <row r="459" spans="3:14" x14ac:dyDescent="0.25">
      <c r="C459">
        <v>2450</v>
      </c>
      <c r="D459" t="s">
        <v>975</v>
      </c>
      <c r="F459" s="10">
        <v>51541733.670000002</v>
      </c>
      <c r="H459" s="10">
        <v>39764547.159999996</v>
      </c>
      <c r="J459" s="10">
        <v>159876004.63999999</v>
      </c>
      <c r="K459" s="10">
        <v>144661481.25999999</v>
      </c>
      <c r="L459" s="10">
        <v>782068.92</v>
      </c>
      <c r="M459" s="10">
        <v>130407430.48999999</v>
      </c>
      <c r="N459" t="s">
        <v>945</v>
      </c>
    </row>
    <row r="460" spans="3:14" x14ac:dyDescent="0.25">
      <c r="C460">
        <v>2500</v>
      </c>
      <c r="D460" t="s">
        <v>976</v>
      </c>
      <c r="F460" s="10">
        <v>24618831.27</v>
      </c>
      <c r="H460" s="10">
        <v>2578044.7999999998</v>
      </c>
      <c r="J460" s="10">
        <v>182237034.88999999</v>
      </c>
      <c r="K460" s="10">
        <v>154499195.93000001</v>
      </c>
      <c r="L460" s="10">
        <v>18887572.32</v>
      </c>
      <c r="M460" s="10">
        <v>46884305.450000003</v>
      </c>
      <c r="N460" t="s">
        <v>945</v>
      </c>
    </row>
    <row r="461" spans="3:14" x14ac:dyDescent="0.25">
      <c r="C461">
        <v>2550</v>
      </c>
      <c r="D461" t="s">
        <v>976</v>
      </c>
      <c r="F461" s="10">
        <v>8310399.0499999998</v>
      </c>
      <c r="H461">
        <v>0</v>
      </c>
      <c r="J461" s="10">
        <v>37253350.810000002</v>
      </c>
      <c r="K461" s="10">
        <v>28942951.760000002</v>
      </c>
      <c r="L461">
        <v>0</v>
      </c>
      <c r="M461" s="10">
        <v>239987143.58000001</v>
      </c>
      <c r="N461" t="s">
        <v>945</v>
      </c>
    </row>
    <row r="462" spans="3:14" x14ac:dyDescent="0.25">
      <c r="C462">
        <v>2560</v>
      </c>
      <c r="D462" t="s">
        <v>977</v>
      </c>
      <c r="F462" s="10">
        <v>1088.4100000000001</v>
      </c>
      <c r="H462" s="10">
        <v>2601.16</v>
      </c>
      <c r="J462" s="10">
        <v>28283622.260000002</v>
      </c>
      <c r="K462" s="10">
        <v>28086037.629999999</v>
      </c>
      <c r="L462" s="10">
        <v>1935642.08</v>
      </c>
      <c r="M462" s="10">
        <v>7790618.6600000001</v>
      </c>
      <c r="N462" t="s">
        <v>945</v>
      </c>
    </row>
    <row r="463" spans="3:14" x14ac:dyDescent="0.25">
      <c r="C463">
        <v>2600</v>
      </c>
      <c r="D463" t="s">
        <v>978</v>
      </c>
      <c r="F463" s="10">
        <v>21221695.07</v>
      </c>
      <c r="H463" s="10">
        <v>21469340.41</v>
      </c>
      <c r="J463" s="10">
        <v>213824830.66999999</v>
      </c>
      <c r="K463" s="10">
        <v>217839560.72</v>
      </c>
      <c r="L463" s="10">
        <v>620938.42000000004</v>
      </c>
      <c r="M463" s="10">
        <v>5512620.29</v>
      </c>
      <c r="N463" t="s">
        <v>945</v>
      </c>
    </row>
    <row r="464" spans="3:14" x14ac:dyDescent="0.25">
      <c r="C464">
        <v>2810</v>
      </c>
      <c r="D464" t="s">
        <v>979</v>
      </c>
      <c r="F464" s="10">
        <v>187500</v>
      </c>
      <c r="H464" s="10">
        <v>189163.41</v>
      </c>
      <c r="J464" s="10">
        <v>4647242.76</v>
      </c>
      <c r="K464" s="10">
        <v>4348085.75</v>
      </c>
      <c r="L464" s="10">
        <v>1080484.73</v>
      </c>
      <c r="M464" s="10">
        <v>1384460.77</v>
      </c>
      <c r="N464" t="s">
        <v>945</v>
      </c>
    </row>
    <row r="465" spans="3:14" x14ac:dyDescent="0.25">
      <c r="C465">
        <v>2900</v>
      </c>
      <c r="D465" t="s">
        <v>980</v>
      </c>
      <c r="F465">
        <v>600.80999999999995</v>
      </c>
      <c r="H465" s="10">
        <v>71447.33</v>
      </c>
      <c r="J465" s="10">
        <v>2592527421.9200001</v>
      </c>
      <c r="K465" s="10">
        <v>2588944453.8800001</v>
      </c>
      <c r="L465" s="10">
        <v>8708542.5299999993</v>
      </c>
      <c r="M465" s="10">
        <v>50264679.090000004</v>
      </c>
      <c r="N465" t="s">
        <v>945</v>
      </c>
    </row>
    <row r="466" spans="3:14" x14ac:dyDescent="0.25">
      <c r="C466">
        <v>3000</v>
      </c>
      <c r="D466" t="s">
        <v>981</v>
      </c>
      <c r="F466">
        <v>0</v>
      </c>
      <c r="H466">
        <v>0</v>
      </c>
      <c r="J466" s="11">
        <v>26983301</v>
      </c>
      <c r="K466" s="11">
        <v>39474255</v>
      </c>
      <c r="L466" s="11">
        <v>1560434</v>
      </c>
      <c r="M466" s="11">
        <v>59255737</v>
      </c>
      <c r="N466" t="s">
        <v>949</v>
      </c>
    </row>
    <row r="467" spans="3:14" x14ac:dyDescent="0.25">
      <c r="C467">
        <v>3100</v>
      </c>
      <c r="D467" t="s">
        <v>982</v>
      </c>
      <c r="F467" s="11">
        <v>27146548</v>
      </c>
      <c r="H467" s="11">
        <v>149870050</v>
      </c>
      <c r="J467" s="11">
        <v>22000482643</v>
      </c>
      <c r="K467" s="11">
        <v>20026941001</v>
      </c>
      <c r="L467" s="11">
        <v>15481190243</v>
      </c>
      <c r="M467" s="11">
        <v>1778202128</v>
      </c>
      <c r="N467" t="s">
        <v>949</v>
      </c>
    </row>
    <row r="468" spans="3:14" x14ac:dyDescent="0.25">
      <c r="C468">
        <v>3110</v>
      </c>
      <c r="D468" t="s">
        <v>983</v>
      </c>
      <c r="F468">
        <v>0</v>
      </c>
      <c r="H468">
        <v>0</v>
      </c>
      <c r="J468">
        <v>0</v>
      </c>
      <c r="K468">
        <v>0</v>
      </c>
      <c r="L468">
        <v>0</v>
      </c>
      <c r="M468">
        <v>0</v>
      </c>
      <c r="N468" t="s">
        <v>949</v>
      </c>
    </row>
    <row r="469" spans="3:14" x14ac:dyDescent="0.25">
      <c r="C469">
        <v>3140</v>
      </c>
      <c r="D469" t="s">
        <v>984</v>
      </c>
      <c r="F469">
        <v>0</v>
      </c>
      <c r="H469">
        <v>0</v>
      </c>
      <c r="J469" s="11">
        <v>68392220</v>
      </c>
      <c r="K469" s="11">
        <v>67879609</v>
      </c>
      <c r="L469" s="11">
        <v>8830996</v>
      </c>
      <c r="M469" s="11">
        <v>111452</v>
      </c>
      <c r="N469" t="s">
        <v>949</v>
      </c>
    </row>
    <row r="471" spans="3:14" x14ac:dyDescent="0.25">
      <c r="F471">
        <v>0</v>
      </c>
      <c r="H471">
        <v>0</v>
      </c>
      <c r="J471" s="10">
        <v>876668.5</v>
      </c>
      <c r="K471" s="10">
        <v>883797.73</v>
      </c>
      <c r="L471" s="10">
        <v>352942.47</v>
      </c>
      <c r="M471">
        <v>513.57000000000005</v>
      </c>
      <c r="N471" t="s">
        <v>956</v>
      </c>
    </row>
    <row r="472" spans="3:14" x14ac:dyDescent="0.25">
      <c r="F472">
        <v>0</v>
      </c>
      <c r="H472">
        <v>0</v>
      </c>
      <c r="J472">
        <v>0</v>
      </c>
      <c r="K472">
        <v>0</v>
      </c>
      <c r="L472" s="10">
        <v>49025422.479999997</v>
      </c>
      <c r="M472" s="10">
        <v>28294181.27</v>
      </c>
      <c r="N472" t="s">
        <v>973</v>
      </c>
    </row>
    <row r="473" spans="3:14" x14ac:dyDescent="0.25">
      <c r="F473" s="11">
        <v>27146548</v>
      </c>
      <c r="H473" s="11">
        <v>900258551</v>
      </c>
      <c r="J473" s="11">
        <v>1096401835823</v>
      </c>
      <c r="K473" s="11">
        <v>1044299761858</v>
      </c>
      <c r="L473" s="11">
        <v>15825223524</v>
      </c>
      <c r="M473" s="11">
        <v>22600743017</v>
      </c>
      <c r="N473" t="s">
        <v>949</v>
      </c>
    </row>
    <row r="474" spans="3:14" x14ac:dyDescent="0.25">
      <c r="F474" s="10">
        <v>122439221.91</v>
      </c>
      <c r="H474" s="10">
        <v>122188830.58</v>
      </c>
      <c r="J474" s="10">
        <v>4689733670.2399998</v>
      </c>
      <c r="K474" s="10">
        <v>4683866674.7200003</v>
      </c>
      <c r="L474" s="10">
        <v>164066923.30000001</v>
      </c>
      <c r="M474" s="10">
        <v>612488541.73000002</v>
      </c>
      <c r="N474" t="s">
        <v>945</v>
      </c>
    </row>
  </sheetData>
  <pageMargins left="0.25" right="0.25" top="0.75" bottom="0.75" header="0.3" footer="0.3"/>
  <pageSetup scale="70" fitToHeight="2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pageSetUpPr fitToPage="1"/>
  </sheetPr>
  <dimension ref="A1:GZ295"/>
  <sheetViews>
    <sheetView tabSelected="1" zoomScale="130" zoomScaleNormal="130" workbookViewId="0">
      <pane ySplit="2" topLeftCell="A251" activePane="bottomLeft" state="frozen"/>
      <selection activeCell="B1" sqref="B1"/>
      <selection pane="bottomLeft" activeCell="K289" sqref="K289"/>
    </sheetView>
  </sheetViews>
  <sheetFormatPr defaultColWidth="9.140625" defaultRowHeight="25.5" customHeight="1" x14ac:dyDescent="0.2"/>
  <cols>
    <col min="1" max="1" width="13.42578125" style="2" customWidth="1"/>
    <col min="2" max="2" width="14.85546875" style="3" customWidth="1"/>
    <col min="3" max="3" width="14.5703125" style="2" customWidth="1"/>
    <col min="4" max="4" width="42.28515625" style="2" bestFit="1" customWidth="1"/>
    <col min="5" max="5" width="16.140625" style="2" bestFit="1" customWidth="1"/>
    <col min="6" max="6" width="3.42578125" style="2" customWidth="1"/>
    <col min="7" max="7" width="21.42578125" style="3" bestFit="1" customWidth="1"/>
    <col min="8" max="8" width="14.140625" style="2" customWidth="1"/>
    <col min="9" max="9" width="17.85546875" style="9" bestFit="1" customWidth="1"/>
    <col min="10" max="10" width="36" style="2" bestFit="1" customWidth="1"/>
    <col min="11" max="197" width="9.140625" style="2" customWidth="1"/>
    <col min="198" max="198" width="11.5703125" style="2" customWidth="1"/>
    <col min="199" max="199" width="14.85546875" style="2" customWidth="1"/>
    <col min="200" max="200" width="14.5703125" style="2" customWidth="1"/>
    <col min="201" max="201" width="28.140625" style="2" customWidth="1"/>
    <col min="202" max="202" width="13.42578125" style="2" customWidth="1"/>
    <col min="203" max="203" width="3.42578125" style="2" customWidth="1"/>
    <col min="204" max="204" width="21.42578125" style="2" bestFit="1" customWidth="1"/>
    <col min="205" max="207" width="9.140625" style="2" customWidth="1"/>
    <col min="208" max="208" width="14" style="2" bestFit="1" customWidth="1"/>
    <col min="209" max="211" width="9.140625" style="2" customWidth="1"/>
    <col min="212" max="16384" width="9.140625" style="2"/>
  </cols>
  <sheetData>
    <row r="1" spans="1:10" ht="25.5" customHeight="1" thickBot="1" x14ac:dyDescent="0.3">
      <c r="B1" s="80" t="str">
        <f>LEFT(SAP!A3,41)</f>
        <v xml:space="preserve">                  Per month October 2026 </v>
      </c>
      <c r="C1" s="81"/>
      <c r="D1" s="81"/>
      <c r="E1" s="81"/>
      <c r="F1" s="81"/>
      <c r="G1" s="82"/>
      <c r="I1" s="78" t="s">
        <v>0</v>
      </c>
      <c r="J1" s="79"/>
    </row>
    <row r="2" spans="1:10" s="8" customFormat="1" ht="52.5" customHeight="1" thickBot="1" x14ac:dyDescent="0.3">
      <c r="A2" s="18" t="str">
        <f>IF(G292&lt;&gt;0,"Out of balance","In Balance")</f>
        <v>Out of balance</v>
      </c>
      <c r="B2" s="8" t="s">
        <v>1</v>
      </c>
      <c r="C2" s="8" t="s">
        <v>2</v>
      </c>
      <c r="D2" s="8" t="s">
        <v>3</v>
      </c>
      <c r="E2" s="8" t="s">
        <v>4</v>
      </c>
      <c r="G2" s="8" t="s">
        <v>5</v>
      </c>
      <c r="H2" s="8" t="s">
        <v>6</v>
      </c>
      <c r="I2" s="41" t="s">
        <v>7</v>
      </c>
      <c r="J2" s="42" t="s">
        <v>8</v>
      </c>
    </row>
    <row r="3" spans="1:10" ht="25.5" customHeight="1" x14ac:dyDescent="0.2">
      <c r="A3" s="16" t="s">
        <v>9</v>
      </c>
      <c r="B3" s="3">
        <v>1000</v>
      </c>
      <c r="C3" s="3">
        <v>2905024001</v>
      </c>
      <c r="D3" s="2" t="s">
        <v>10</v>
      </c>
      <c r="E3" s="15">
        <f>IF(ISERROR(VLOOKUP(A3,SAP,11,FALSE)=1),0,(VLOOKUP(A3,SAP,11,FALSE)))</f>
        <v>-24053.81</v>
      </c>
      <c r="G3" s="16"/>
      <c r="H3" s="16" t="str">
        <f>IF(E3&lt;=0,"","Should be Credit")</f>
        <v/>
      </c>
      <c r="I3" s="43"/>
      <c r="J3" s="44"/>
    </row>
    <row r="4" spans="1:10" ht="25.5" customHeight="1" x14ac:dyDescent="0.25">
      <c r="A4" s="16" t="s">
        <v>11</v>
      </c>
      <c r="B4" s="3">
        <v>1100</v>
      </c>
      <c r="C4" s="3">
        <v>1301110001</v>
      </c>
      <c r="D4" s="2" t="s">
        <v>12</v>
      </c>
      <c r="E4" s="15">
        <f>IF(ISERROR(VLOOKUP(A4,SAP,11,FALSE)=1),0,(VLOOKUP(A4,SAP,11,FALSE)))</f>
        <v>24053.81</v>
      </c>
      <c r="G4" s="17">
        <f>SUM(E3:E4)</f>
        <v>0</v>
      </c>
      <c r="H4" s="16" t="str">
        <f>IF(E4&gt;=0,"","Should be Debit")</f>
        <v/>
      </c>
      <c r="I4" s="45" t="s">
        <v>13</v>
      </c>
      <c r="J4" s="46" t="s">
        <v>14</v>
      </c>
    </row>
    <row r="5" spans="1:10" ht="25.5" customHeight="1" x14ac:dyDescent="0.2">
      <c r="A5" s="16" t="s">
        <v>15</v>
      </c>
      <c r="B5" s="3">
        <v>1100</v>
      </c>
      <c r="C5" s="3">
        <v>2905010001</v>
      </c>
      <c r="D5" s="2" t="s">
        <v>16</v>
      </c>
      <c r="E5" s="15">
        <f>IF(ISERROR(VLOOKUP(A5,SAP,11,FALSE)=1),0,(VLOOKUP(A5,SAP,11,FALSE)))</f>
        <v>-47844.89</v>
      </c>
      <c r="G5" s="16"/>
      <c r="H5" s="16" t="str">
        <f>IF(E5&lt;=0,"","Should be Credit")</f>
        <v/>
      </c>
      <c r="I5" s="43"/>
      <c r="J5" s="44"/>
    </row>
    <row r="6" spans="1:10" ht="25.5" customHeight="1" x14ac:dyDescent="0.25">
      <c r="A6" s="16" t="s">
        <v>17</v>
      </c>
      <c r="B6" s="3">
        <v>1000</v>
      </c>
      <c r="C6" s="3">
        <v>1301150001</v>
      </c>
      <c r="D6" s="2" t="s">
        <v>18</v>
      </c>
      <c r="E6" s="15">
        <f>IF(ISERROR(VLOOKUP(A6,SAP,11,FALSE)=1),0,(VLOOKUP(A6,SAP,11,FALSE)))</f>
        <v>47844.89</v>
      </c>
      <c r="G6" s="17">
        <f>SUM(E5:E6)</f>
        <v>0</v>
      </c>
      <c r="H6" s="16" t="str">
        <f>IF(E6&gt;=0,"","Should be Debit")</f>
        <v/>
      </c>
      <c r="I6" s="45" t="s">
        <v>19</v>
      </c>
      <c r="J6" s="46" t="s">
        <v>20</v>
      </c>
    </row>
    <row r="7" spans="1:10" ht="25.5" customHeight="1" x14ac:dyDescent="0.2">
      <c r="A7" s="16"/>
      <c r="C7" s="3"/>
      <c r="E7" s="15"/>
      <c r="G7" s="19"/>
      <c r="H7" s="16"/>
      <c r="I7" s="43"/>
      <c r="J7" s="44"/>
    </row>
    <row r="8" spans="1:10" ht="25.5" customHeight="1" x14ac:dyDescent="0.2">
      <c r="A8" s="16" t="s">
        <v>21</v>
      </c>
      <c r="B8" s="3">
        <v>1000</v>
      </c>
      <c r="C8" s="3">
        <v>2905028016</v>
      </c>
      <c r="D8" s="2" t="s">
        <v>22</v>
      </c>
      <c r="E8" s="15">
        <f>IF(ISERROR(VLOOKUP(A8,SAP,11,FALSE)=1),0,(VLOOKUP(A8,SAP,11,FALSE)))</f>
        <v>-209559.85</v>
      </c>
      <c r="G8" s="19"/>
      <c r="H8" s="16" t="str">
        <f>IF(E8&lt;=0,"","Should be Credit")</f>
        <v/>
      </c>
      <c r="I8" s="43"/>
      <c r="J8" s="44"/>
    </row>
    <row r="9" spans="1:10" ht="25.5" customHeight="1" x14ac:dyDescent="0.25">
      <c r="A9" s="16" t="s">
        <v>23</v>
      </c>
      <c r="B9" s="3">
        <v>1200</v>
      </c>
      <c r="C9" s="3">
        <v>1301110001</v>
      </c>
      <c r="D9" s="2" t="s">
        <v>12</v>
      </c>
      <c r="E9" s="15">
        <f>IF(ISERROR(VLOOKUP(A9,SAP,11,FALSE)=1),0,(VLOOKUP(A9,SAP,11,FALSE)))</f>
        <v>209559.85</v>
      </c>
      <c r="G9" s="17">
        <f>SUM(E8:E9)</f>
        <v>0</v>
      </c>
      <c r="H9" s="16" t="str">
        <f>IF(E9&gt;=0,"","Should be Debit")</f>
        <v/>
      </c>
      <c r="I9" s="45" t="s">
        <v>24</v>
      </c>
      <c r="J9" s="46" t="s">
        <v>25</v>
      </c>
    </row>
    <row r="10" spans="1:10" ht="25.5" customHeight="1" x14ac:dyDescent="0.2">
      <c r="A10" s="16" t="s">
        <v>26</v>
      </c>
      <c r="B10" s="3">
        <v>1200</v>
      </c>
      <c r="C10" s="3">
        <v>2905010001</v>
      </c>
      <c r="D10" s="2" t="s">
        <v>16</v>
      </c>
      <c r="E10" s="15">
        <f>IF(ISERROR(VLOOKUP(A10,SAP,11,FALSE)=1),0,(VLOOKUP(A10,SAP,11,FALSE)))</f>
        <v>-538696.59</v>
      </c>
      <c r="G10" s="19"/>
      <c r="H10" s="16" t="str">
        <f>IF(E10&lt;=0,"","Should be Credit")</f>
        <v/>
      </c>
      <c r="I10" s="43"/>
      <c r="J10" s="44"/>
    </row>
    <row r="11" spans="1:10" ht="25.5" customHeight="1" x14ac:dyDescent="0.25">
      <c r="A11" s="16" t="s">
        <v>27</v>
      </c>
      <c r="B11" s="3">
        <v>1000</v>
      </c>
      <c r="C11" s="3">
        <v>1301080022</v>
      </c>
      <c r="D11" s="2" t="s">
        <v>28</v>
      </c>
      <c r="E11" s="15">
        <f>IF(ISERROR(VLOOKUP(A11,SAP,11,FALSE)=1),0,(VLOOKUP(A11,SAP,11,FALSE)))</f>
        <v>538696.59</v>
      </c>
      <c r="G11" s="17">
        <f>SUM(E10:E11)</f>
        <v>0</v>
      </c>
      <c r="H11" s="16" t="str">
        <f>IF(E11&gt;=0,"","Should be Debit")</f>
        <v/>
      </c>
      <c r="I11" s="45" t="s">
        <v>29</v>
      </c>
      <c r="J11" s="46" t="s">
        <v>30</v>
      </c>
    </row>
    <row r="12" spans="1:10" ht="25.5" customHeight="1" x14ac:dyDescent="0.2">
      <c r="A12" s="16"/>
      <c r="C12" s="3"/>
      <c r="E12" s="15"/>
      <c r="G12" s="19"/>
      <c r="H12" s="16"/>
      <c r="I12" s="43"/>
      <c r="J12" s="44"/>
    </row>
    <row r="13" spans="1:10" ht="25.5" customHeight="1" x14ac:dyDescent="0.2">
      <c r="A13" s="16" t="s">
        <v>31</v>
      </c>
      <c r="B13" s="3">
        <v>1000</v>
      </c>
      <c r="C13" s="3">
        <v>2905028003</v>
      </c>
      <c r="D13" s="2" t="s">
        <v>32</v>
      </c>
      <c r="E13" s="15">
        <f>IF(ISERROR(VLOOKUP(A13,SAP,11,FALSE)=1),0,(VLOOKUP(A13,SAP,11,FALSE)))</f>
        <v>0</v>
      </c>
      <c r="G13" s="16"/>
      <c r="H13" s="16" t="str">
        <f>IF(E13&lt;=0,"","Should be Credit")</f>
        <v/>
      </c>
      <c r="I13" s="43"/>
      <c r="J13" s="44"/>
    </row>
    <row r="14" spans="1:10" ht="25.5" customHeight="1" x14ac:dyDescent="0.25">
      <c r="A14" s="16" t="s">
        <v>33</v>
      </c>
      <c r="B14" s="3">
        <v>1400</v>
      </c>
      <c r="C14" s="3">
        <v>1301110001</v>
      </c>
      <c r="D14" s="2" t="s">
        <v>12</v>
      </c>
      <c r="E14" s="15">
        <f>IF(ISERROR(VLOOKUP(A14,SAP,11,FALSE)=1),0,(VLOOKUP(A14,SAP,11,FALSE)))</f>
        <v>0</v>
      </c>
      <c r="G14" s="17">
        <f>SUM(E13:E14)</f>
        <v>0</v>
      </c>
      <c r="H14" s="16" t="str">
        <f>IF(E14&gt;=0,"","Should be Debit")</f>
        <v/>
      </c>
      <c r="I14" s="45" t="s">
        <v>34</v>
      </c>
      <c r="J14" s="46" t="s">
        <v>35</v>
      </c>
    </row>
    <row r="15" spans="1:10" ht="25.5" customHeight="1" x14ac:dyDescent="0.2">
      <c r="A15" s="16" t="s">
        <v>36</v>
      </c>
      <c r="B15" s="3">
        <v>1400</v>
      </c>
      <c r="C15" s="3">
        <v>2905010001</v>
      </c>
      <c r="D15" s="2" t="s">
        <v>16</v>
      </c>
      <c r="E15" s="15">
        <f>IF(ISERROR(VLOOKUP(A15,SAP,11,FALSE)=1),0,(VLOOKUP(A15,SAP,11,FALSE)))</f>
        <v>0</v>
      </c>
      <c r="G15" s="16"/>
      <c r="H15" s="16" t="str">
        <f>IF(E15&lt;=0,"","Should be Credit")</f>
        <v/>
      </c>
      <c r="I15" s="43"/>
      <c r="J15" s="44"/>
    </row>
    <row r="16" spans="1:10" ht="25.5" customHeight="1" x14ac:dyDescent="0.25">
      <c r="A16" s="16" t="s">
        <v>37</v>
      </c>
      <c r="B16" s="3">
        <v>1000</v>
      </c>
      <c r="C16" s="3">
        <v>1301120004</v>
      </c>
      <c r="D16" s="2" t="s">
        <v>38</v>
      </c>
      <c r="E16" s="15">
        <f>IF(ISERROR(VLOOKUP(A16,SAP,11,FALSE)=1),0,(VLOOKUP(A16,SAP,11,FALSE)))</f>
        <v>0</v>
      </c>
      <c r="G16" s="17">
        <f>SUM(E15:E16)</f>
        <v>0</v>
      </c>
      <c r="H16" s="16" t="str">
        <f>IF(E16&gt;=0,"","Should be Debit")</f>
        <v/>
      </c>
      <c r="I16" s="45" t="s">
        <v>39</v>
      </c>
      <c r="J16" s="46" t="s">
        <v>40</v>
      </c>
    </row>
    <row r="17" spans="1:10" ht="25.5" customHeight="1" x14ac:dyDescent="0.2">
      <c r="A17" s="16"/>
      <c r="C17" s="3"/>
      <c r="E17" s="15"/>
      <c r="G17" s="16"/>
      <c r="H17" s="16"/>
      <c r="I17" s="43"/>
      <c r="J17" s="44"/>
    </row>
    <row r="18" spans="1:10" ht="25.5" customHeight="1" x14ac:dyDescent="0.2">
      <c r="A18" s="16" t="s">
        <v>41</v>
      </c>
      <c r="B18" s="3">
        <v>1000</v>
      </c>
      <c r="C18" s="3">
        <v>2905028006</v>
      </c>
      <c r="D18" s="2" t="s">
        <v>42</v>
      </c>
      <c r="E18" s="15">
        <f>IF(ISERROR(VLOOKUP(A18,SAP,11,FALSE)=1),0,(VLOOKUP(A18,SAP,11,FALSE)))</f>
        <v>0</v>
      </c>
      <c r="G18" s="16"/>
      <c r="H18" s="16" t="str">
        <f>IF(E18&lt;=0,"","Should be Credit")</f>
        <v/>
      </c>
      <c r="I18" s="43"/>
      <c r="J18" s="44"/>
    </row>
    <row r="19" spans="1:10" ht="25.5" customHeight="1" x14ac:dyDescent="0.25">
      <c r="A19" s="16" t="s">
        <v>43</v>
      </c>
      <c r="B19" s="3">
        <v>1500</v>
      </c>
      <c r="C19" s="3">
        <v>1301110001</v>
      </c>
      <c r="D19" s="2" t="s">
        <v>12</v>
      </c>
      <c r="E19" s="15">
        <f>IF(ISERROR(VLOOKUP(A19,SAP,11,FALSE)=1),0,(VLOOKUP(A19,SAP,11,FALSE)))</f>
        <v>0</v>
      </c>
      <c r="G19" s="17">
        <f>SUM(E18:E19)</f>
        <v>0</v>
      </c>
      <c r="H19" s="16" t="str">
        <f>IF(E19&gt;=0,"","Should be Debit")</f>
        <v/>
      </c>
      <c r="I19" s="45" t="s">
        <v>44</v>
      </c>
      <c r="J19" s="46" t="s">
        <v>45</v>
      </c>
    </row>
    <row r="20" spans="1:10" ht="25.5" customHeight="1" x14ac:dyDescent="0.2">
      <c r="A20" s="16" t="s">
        <v>46</v>
      </c>
      <c r="B20" s="3">
        <v>1500</v>
      </c>
      <c r="C20" s="3">
        <v>2905010001</v>
      </c>
      <c r="D20" s="2" t="s">
        <v>16</v>
      </c>
      <c r="E20" s="15">
        <f>IF(ISERROR(VLOOKUP(A20,SAP,11,FALSE)=1),0,(VLOOKUP(A20,SAP,11,FALSE)))</f>
        <v>0</v>
      </c>
      <c r="G20" s="16"/>
      <c r="H20" s="16" t="str">
        <f>IF(E20&lt;=0,"","Should be Credit")</f>
        <v/>
      </c>
      <c r="I20" s="43"/>
      <c r="J20" s="44"/>
    </row>
    <row r="21" spans="1:10" ht="25.5" customHeight="1" x14ac:dyDescent="0.25">
      <c r="A21" s="16" t="s">
        <v>47</v>
      </c>
      <c r="B21" s="3">
        <v>1000</v>
      </c>
      <c r="C21" s="3">
        <v>1301110004</v>
      </c>
      <c r="D21" s="2" t="s">
        <v>48</v>
      </c>
      <c r="E21" s="15">
        <f>IF(ISERROR(VLOOKUP(A21,SAP,11,FALSE)=1),0,(VLOOKUP(A21,SAP,11,FALSE)))</f>
        <v>0</v>
      </c>
      <c r="G21" s="17">
        <f>SUM(E20:E21)</f>
        <v>0</v>
      </c>
      <c r="H21" s="16" t="str">
        <f>IF(E21&gt;=0,"","Should be Debit")</f>
        <v/>
      </c>
      <c r="I21" s="45" t="s">
        <v>49</v>
      </c>
      <c r="J21" s="46" t="s">
        <v>50</v>
      </c>
    </row>
    <row r="22" spans="1:10" ht="25.5" customHeight="1" x14ac:dyDescent="0.2">
      <c r="A22" s="16"/>
      <c r="C22" s="3"/>
      <c r="E22" s="15"/>
      <c r="G22" s="19"/>
      <c r="H22" s="16"/>
      <c r="I22" s="43"/>
      <c r="J22" s="44"/>
    </row>
    <row r="23" spans="1:10" ht="25.5" customHeight="1" x14ac:dyDescent="0.2">
      <c r="A23" s="16" t="s">
        <v>51</v>
      </c>
      <c r="B23" s="3">
        <v>1000</v>
      </c>
      <c r="C23" s="3">
        <v>2905022005</v>
      </c>
      <c r="D23" s="2" t="s">
        <v>52</v>
      </c>
      <c r="E23" s="15">
        <f>IF(ISERROR(VLOOKUP(A23,SAP,11,FALSE)=1),0,(VLOOKUP(A23,SAP,11,FALSE)))</f>
        <v>-122815.64</v>
      </c>
      <c r="G23" s="16"/>
      <c r="H23" s="16" t="str">
        <f>IF(E23&lt;=0,"","Should be Credit")</f>
        <v/>
      </c>
      <c r="I23" s="43"/>
      <c r="J23" s="44"/>
    </row>
    <row r="24" spans="1:10" ht="25.5" customHeight="1" x14ac:dyDescent="0.25">
      <c r="A24" s="16" t="s">
        <v>53</v>
      </c>
      <c r="B24" s="3">
        <v>2200</v>
      </c>
      <c r="C24" s="3">
        <v>1301110001</v>
      </c>
      <c r="D24" s="2" t="s">
        <v>12</v>
      </c>
      <c r="E24" s="15">
        <f>IF(ISERROR(VLOOKUP(A24,SAP,11,FALSE)=1),0,(VLOOKUP(A24,SAP,11,FALSE)))</f>
        <v>122815.64</v>
      </c>
      <c r="G24" s="17">
        <f>SUM(E23:E24)</f>
        <v>0</v>
      </c>
      <c r="H24" s="16" t="str">
        <f>IF(E24&gt;=0,"","Should be Debit")</f>
        <v/>
      </c>
      <c r="I24" s="45" t="s">
        <v>54</v>
      </c>
      <c r="J24" s="46" t="s">
        <v>55</v>
      </c>
    </row>
    <row r="25" spans="1:10" ht="25.5" customHeight="1" x14ac:dyDescent="0.25">
      <c r="A25" s="16" t="s">
        <v>56</v>
      </c>
      <c r="B25" s="3">
        <v>2200</v>
      </c>
      <c r="C25" s="3">
        <v>2905010001</v>
      </c>
      <c r="D25" s="2" t="s">
        <v>16</v>
      </c>
      <c r="E25" s="15">
        <f>IF(ISERROR(VLOOKUP(A25,SAP,11,FALSE)=1),0,(VLOOKUP(A25,SAP,11,FALSE)))</f>
        <v>-191777.97</v>
      </c>
      <c r="G25" s="16"/>
      <c r="H25" s="16" t="str">
        <f>IF(E25&lt;=0,"","Should be Credit")</f>
        <v/>
      </c>
      <c r="I25" s="45" t="s">
        <v>57</v>
      </c>
      <c r="J25" s="46" t="s">
        <v>58</v>
      </c>
    </row>
    <row r="26" spans="1:10" ht="25.5" customHeight="1" x14ac:dyDescent="0.2">
      <c r="A26" s="16" t="s">
        <v>59</v>
      </c>
      <c r="B26" s="3">
        <v>1000</v>
      </c>
      <c r="C26" s="3">
        <v>1301080003</v>
      </c>
      <c r="D26" s="2" t="s">
        <v>60</v>
      </c>
      <c r="E26" s="15">
        <f>IF(ISERROR(VLOOKUP(A26,SAP,11,FALSE)=1),0,(VLOOKUP(A26,SAP,11,FALSE)))</f>
        <v>191777.97</v>
      </c>
      <c r="G26" s="17">
        <f>SUM(E25:E26)</f>
        <v>0</v>
      </c>
      <c r="H26" s="16" t="str">
        <f>IF(E26&gt;=0,"","Should be Debit")</f>
        <v/>
      </c>
      <c r="I26" s="43"/>
      <c r="J26" s="44"/>
    </row>
    <row r="27" spans="1:10" ht="25.5" customHeight="1" x14ac:dyDescent="0.2">
      <c r="A27" s="16"/>
      <c r="C27" s="3"/>
      <c r="E27" s="15"/>
      <c r="G27" s="16"/>
      <c r="H27" s="16"/>
      <c r="I27" s="43"/>
      <c r="J27" s="44"/>
    </row>
    <row r="28" spans="1:10" ht="25.5" customHeight="1" x14ac:dyDescent="0.2">
      <c r="A28" s="16" t="s">
        <v>61</v>
      </c>
      <c r="B28" s="3">
        <v>1000</v>
      </c>
      <c r="C28" s="3">
        <v>2905028014</v>
      </c>
      <c r="D28" s="2" t="s">
        <v>62</v>
      </c>
      <c r="E28" s="15">
        <f>IF(ISERROR(VLOOKUP(A28,SAP,11,FALSE)=1),0,(VLOOKUP(A28,SAP,11,FALSE)))</f>
        <v>-3187137.57</v>
      </c>
      <c r="G28" s="16"/>
      <c r="H28" s="16" t="str">
        <f>IF(E28&lt;=0,"","Should be Credit")</f>
        <v/>
      </c>
      <c r="I28" s="43"/>
      <c r="J28" s="44"/>
    </row>
    <row r="29" spans="1:10" ht="25.5" customHeight="1" x14ac:dyDescent="0.25">
      <c r="A29" s="16" t="s">
        <v>63</v>
      </c>
      <c r="B29" s="3">
        <v>2400</v>
      </c>
      <c r="C29" s="3">
        <v>1301110001</v>
      </c>
      <c r="D29" s="2" t="s">
        <v>12</v>
      </c>
      <c r="E29" s="15">
        <f>IF(ISERROR(VLOOKUP(A29,SAP,11,FALSE)=1),0,(VLOOKUP(A29,SAP,11,FALSE)))</f>
        <v>3187137.57</v>
      </c>
      <c r="G29" s="17">
        <f>SUM(E28:E29)</f>
        <v>0</v>
      </c>
      <c r="H29" s="16" t="str">
        <f>IF(E29&gt;=0,"","Should be Debit")</f>
        <v/>
      </c>
      <c r="I29" s="45" t="s">
        <v>64</v>
      </c>
      <c r="J29" s="46" t="s">
        <v>65</v>
      </c>
    </row>
    <row r="30" spans="1:10" ht="25.5" customHeight="1" x14ac:dyDescent="0.2">
      <c r="A30" s="16" t="s">
        <v>66</v>
      </c>
      <c r="B30" s="3">
        <v>2400</v>
      </c>
      <c r="C30" s="3">
        <v>2905010001</v>
      </c>
      <c r="D30" s="2" t="s">
        <v>16</v>
      </c>
      <c r="E30" s="15">
        <f>IF(ISERROR(VLOOKUP(A30,SAP,11,FALSE)=1),0,(VLOOKUP(A30,SAP,11,FALSE)))</f>
        <v>-6577032.3300000001</v>
      </c>
      <c r="G30" s="16"/>
      <c r="H30" s="16" t="str">
        <f>IF(E30&lt;=0,"","Should be Credit")</f>
        <v/>
      </c>
      <c r="I30" s="47"/>
      <c r="J30" s="44"/>
    </row>
    <row r="31" spans="1:10" ht="25.5" customHeight="1" x14ac:dyDescent="0.25">
      <c r="A31" s="16" t="s">
        <v>67</v>
      </c>
      <c r="B31" s="3">
        <v>1000</v>
      </c>
      <c r="C31" s="3">
        <v>1301080020</v>
      </c>
      <c r="D31" s="2" t="s">
        <v>68</v>
      </c>
      <c r="E31" s="15">
        <f>IF(ISERROR(VLOOKUP(A31,SAP,11,FALSE)=1),0,(VLOOKUP(A31,SAP,11,FALSE)))</f>
        <v>6577032.3300000001</v>
      </c>
      <c r="G31" s="17">
        <f>SUM(E30:E31)</f>
        <v>0</v>
      </c>
      <c r="H31" s="16" t="str">
        <f>IF(E31&gt;=0,"","Should be Debit")</f>
        <v/>
      </c>
      <c r="I31" s="45" t="s">
        <v>69</v>
      </c>
      <c r="J31" s="46" t="s">
        <v>70</v>
      </c>
    </row>
    <row r="32" spans="1:10" ht="25.5" customHeight="1" x14ac:dyDescent="0.2">
      <c r="A32" s="16"/>
      <c r="C32" s="3"/>
      <c r="E32" s="15"/>
      <c r="G32" s="16"/>
      <c r="H32" s="16"/>
      <c r="I32" s="43"/>
      <c r="J32" s="44"/>
    </row>
    <row r="33" spans="1:10" ht="25.5" customHeight="1" x14ac:dyDescent="0.2">
      <c r="A33" s="16" t="s">
        <v>71</v>
      </c>
      <c r="B33" s="3">
        <v>1000</v>
      </c>
      <c r="C33" s="3">
        <v>2905028001</v>
      </c>
      <c r="D33" s="2" t="s">
        <v>72</v>
      </c>
      <c r="E33" s="15">
        <f>IF(ISERROR(VLOOKUP(A33,SAP,11,FALSE)=1),0,(VLOOKUP(A33,SAP,11,FALSE)))</f>
        <v>-1463.94</v>
      </c>
      <c r="G33" s="16"/>
      <c r="H33" s="16" t="str">
        <f>IF(E33&lt;=0,"","Should be Credit")</f>
        <v/>
      </c>
      <c r="I33" s="43"/>
      <c r="J33" s="44"/>
    </row>
    <row r="34" spans="1:10" ht="25.5" customHeight="1" x14ac:dyDescent="0.25">
      <c r="A34" s="16" t="s">
        <v>73</v>
      </c>
      <c r="B34" s="3">
        <v>2500</v>
      </c>
      <c r="C34" s="3">
        <v>1301110001</v>
      </c>
      <c r="D34" s="2" t="s">
        <v>12</v>
      </c>
      <c r="E34" s="15">
        <f>IF(ISERROR(VLOOKUP(A34,SAP,11,FALSE)=1),0,(VLOOKUP(A34,SAP,11,FALSE)))</f>
        <v>1463.94</v>
      </c>
      <c r="G34" s="17">
        <f>SUM(E33:E34)</f>
        <v>0</v>
      </c>
      <c r="H34" s="16" t="str">
        <f>IF(E34&gt;=0,"","Should be Debit")</f>
        <v/>
      </c>
      <c r="I34" s="45" t="s">
        <v>74</v>
      </c>
      <c r="J34" s="46" t="s">
        <v>75</v>
      </c>
    </row>
    <row r="35" spans="1:10" ht="25.5" customHeight="1" x14ac:dyDescent="0.2">
      <c r="A35" s="16" t="s">
        <v>76</v>
      </c>
      <c r="B35" s="3">
        <v>2500</v>
      </c>
      <c r="C35" s="3">
        <v>2905010001</v>
      </c>
      <c r="D35" s="2" t="s">
        <v>16</v>
      </c>
      <c r="E35" s="15">
        <f>IF(ISERROR(VLOOKUP(A35,SAP,11,FALSE)=1),0,(VLOOKUP(A35,SAP,11,FALSE)))</f>
        <v>-1211446</v>
      </c>
      <c r="G35" s="16"/>
      <c r="H35" s="16" t="str">
        <f>IF(E35&lt;=0,"","Should be Credit")</f>
        <v/>
      </c>
      <c r="I35" s="43"/>
      <c r="J35" s="44"/>
    </row>
    <row r="36" spans="1:10" ht="25.5" customHeight="1" x14ac:dyDescent="0.25">
      <c r="A36" s="16" t="s">
        <v>77</v>
      </c>
      <c r="B36" s="3">
        <v>1000</v>
      </c>
      <c r="C36" s="3">
        <v>1301080004</v>
      </c>
      <c r="D36" s="2" t="s">
        <v>78</v>
      </c>
      <c r="E36" s="15">
        <f>IF(ISERROR(VLOOKUP(A36,SAP,11,FALSE)=1),0,(VLOOKUP(A36,SAP,11,FALSE)))</f>
        <v>1211446</v>
      </c>
      <c r="G36" s="17">
        <f>SUM(E35:E36)</f>
        <v>0</v>
      </c>
      <c r="H36" s="16" t="str">
        <f>IF(E36&gt;=0,"","Should be Debit")</f>
        <v/>
      </c>
      <c r="I36" s="45" t="s">
        <v>79</v>
      </c>
      <c r="J36" s="46" t="s">
        <v>80</v>
      </c>
    </row>
    <row r="37" spans="1:10" ht="25.5" customHeight="1" x14ac:dyDescent="0.2">
      <c r="A37" s="16"/>
      <c r="C37" s="3"/>
      <c r="E37" s="15"/>
      <c r="G37" s="19"/>
      <c r="H37" s="16"/>
      <c r="I37" s="43"/>
      <c r="J37" s="44"/>
    </row>
    <row r="38" spans="1:10" ht="25.5" customHeight="1" x14ac:dyDescent="0.2">
      <c r="A38" s="16" t="s">
        <v>81</v>
      </c>
      <c r="B38" s="3">
        <v>1000</v>
      </c>
      <c r="C38" s="16">
        <v>2905028015</v>
      </c>
      <c r="D38" s="2" t="s">
        <v>82</v>
      </c>
      <c r="E38" s="15">
        <f>IF(ISERROR(VLOOKUP(A38,SAP,11,FALSE)=1),0,(VLOOKUP(A38,SAP,11,FALSE)))</f>
        <v>0</v>
      </c>
      <c r="G38" s="19"/>
      <c r="H38" s="16" t="str">
        <f>IF(E38&lt;=0,"","Should be Credit")</f>
        <v/>
      </c>
      <c r="I38" s="43"/>
      <c r="J38" s="44"/>
    </row>
    <row r="39" spans="1:10" ht="25.5" customHeight="1" x14ac:dyDescent="0.25">
      <c r="A39" s="16" t="s">
        <v>83</v>
      </c>
      <c r="B39" s="3">
        <v>2600</v>
      </c>
      <c r="C39" s="16">
        <v>1301110001</v>
      </c>
      <c r="D39" s="2" t="s">
        <v>12</v>
      </c>
      <c r="E39" s="15">
        <f>IF(ISERROR(VLOOKUP(A39,SAP,11,FALSE)=1),0,(VLOOKUP(A39,SAP,11,FALSE)))</f>
        <v>0</v>
      </c>
      <c r="G39" s="17">
        <f>SUM(E38:E39)</f>
        <v>0</v>
      </c>
      <c r="H39" s="16" t="str">
        <f>IF(E39&gt;=0,"","Should be Debit")</f>
        <v/>
      </c>
      <c r="I39" s="45" t="s">
        <v>84</v>
      </c>
      <c r="J39" s="46" t="s">
        <v>85</v>
      </c>
    </row>
    <row r="40" spans="1:10" ht="25.5" customHeight="1" x14ac:dyDescent="0.2">
      <c r="A40" s="16" t="s">
        <v>86</v>
      </c>
      <c r="B40" s="3">
        <v>2600</v>
      </c>
      <c r="C40" s="16">
        <v>2905010001</v>
      </c>
      <c r="D40" s="2" t="s">
        <v>16</v>
      </c>
      <c r="E40" s="15">
        <f>IF(ISERROR(VLOOKUP(A40,SAP,11,FALSE)=1),0,(VLOOKUP(A40,SAP,11,FALSE)))</f>
        <v>-145362</v>
      </c>
      <c r="G40" s="2"/>
      <c r="H40" s="16" t="str">
        <f>IF(E40&lt;=0,"","Should be Credit")</f>
        <v/>
      </c>
      <c r="I40" s="43"/>
      <c r="J40" s="44"/>
    </row>
    <row r="41" spans="1:10" ht="25.5" customHeight="1" x14ac:dyDescent="0.25">
      <c r="A41" s="16" t="s">
        <v>87</v>
      </c>
      <c r="B41" s="3">
        <v>1000</v>
      </c>
      <c r="C41" s="16">
        <v>1301080021</v>
      </c>
      <c r="D41" s="2" t="s">
        <v>88</v>
      </c>
      <c r="E41" s="15">
        <f>IF(ISERROR(VLOOKUP(A41,SAP,11,FALSE)=1),0,(VLOOKUP(A41,SAP,11,FALSE)))</f>
        <v>145362</v>
      </c>
      <c r="G41" s="17">
        <f>SUM(E40:E41)</f>
        <v>0</v>
      </c>
      <c r="H41" s="16" t="str">
        <f>IF(E41&gt;=0,"","Should be Debit")</f>
        <v/>
      </c>
      <c r="I41" s="45" t="s">
        <v>89</v>
      </c>
      <c r="J41" s="46" t="s">
        <v>90</v>
      </c>
    </row>
    <row r="42" spans="1:10" ht="25.5" customHeight="1" x14ac:dyDescent="0.2">
      <c r="A42" s="16"/>
      <c r="C42" s="16"/>
      <c r="E42" s="15"/>
      <c r="G42" s="19"/>
      <c r="H42" s="16"/>
      <c r="I42" s="43"/>
      <c r="J42" s="44"/>
    </row>
    <row r="43" spans="1:10" ht="25.5" customHeight="1" x14ac:dyDescent="0.2">
      <c r="A43" s="16" t="s">
        <v>91</v>
      </c>
      <c r="B43" s="3">
        <v>1100</v>
      </c>
      <c r="C43" s="3">
        <v>2905028014</v>
      </c>
      <c r="D43" s="2" t="s">
        <v>62</v>
      </c>
      <c r="E43" s="15">
        <f>IF(ISERROR(VLOOKUP(A43,SAP,11,FALSE)=1),0,(VLOOKUP(A43,SAP,11,FALSE)))</f>
        <v>-69659.5</v>
      </c>
      <c r="G43" s="16"/>
      <c r="H43" s="16" t="str">
        <f>IF(E43&lt;=0,"","Should be Credit")</f>
        <v/>
      </c>
      <c r="I43" s="43"/>
      <c r="J43" s="44"/>
    </row>
    <row r="44" spans="1:10" ht="25.5" customHeight="1" x14ac:dyDescent="0.25">
      <c r="A44" s="16" t="s">
        <v>92</v>
      </c>
      <c r="B44" s="3">
        <v>2400</v>
      </c>
      <c r="C44" s="3">
        <v>1301150001</v>
      </c>
      <c r="D44" s="2" t="s">
        <v>18</v>
      </c>
      <c r="E44" s="15">
        <f>IF(ISERROR(VLOOKUP(A44,SAP,11,FALSE)=1),0,(VLOOKUP(A44,SAP,11,FALSE)))</f>
        <v>69659.5</v>
      </c>
      <c r="G44" s="17">
        <f>SUM(E43:E44)</f>
        <v>0</v>
      </c>
      <c r="H44" s="16" t="str">
        <f>IF(E44&gt;=0,"","Should be Debit")</f>
        <v/>
      </c>
      <c r="I44" s="45" t="s">
        <v>93</v>
      </c>
      <c r="J44" s="46" t="s">
        <v>94</v>
      </c>
    </row>
    <row r="45" spans="1:10" x14ac:dyDescent="0.2">
      <c r="A45" s="16" t="s">
        <v>95</v>
      </c>
      <c r="B45" s="3">
        <v>2400</v>
      </c>
      <c r="C45" s="3">
        <v>2905024001</v>
      </c>
      <c r="D45" s="2" t="s">
        <v>10</v>
      </c>
      <c r="E45" s="15">
        <f>IF(ISERROR(VLOOKUP(A45,SAP,11,FALSE)=1),0,(VLOOKUP(A45,SAP,11,FALSE)))</f>
        <v>-201.8</v>
      </c>
      <c r="G45" s="16"/>
      <c r="H45" s="16" t="str">
        <f>IF(E45&lt;=0,"","Should be Credit")</f>
        <v/>
      </c>
      <c r="I45" s="43"/>
      <c r="J45" s="44"/>
    </row>
    <row r="46" spans="1:10" ht="51.75" hidden="1" customHeight="1" x14ac:dyDescent="0.25">
      <c r="A46" s="16" t="s">
        <v>96</v>
      </c>
      <c r="B46" s="3">
        <v>1100</v>
      </c>
      <c r="C46" s="3">
        <v>1301080100</v>
      </c>
      <c r="D46" s="2" t="s">
        <v>97</v>
      </c>
      <c r="E46" s="15">
        <f>IF(ISERROR(VLOOKUP(A46,SAP,11,FALSE)=1),0,(VLOOKUP(A46,SAP,11,FALSE)))</f>
        <v>0</v>
      </c>
      <c r="G46" s="9" t="s">
        <v>98</v>
      </c>
      <c r="H46" s="16" t="str">
        <f>IF(E46&gt;=0,"","Should be Debit")</f>
        <v/>
      </c>
      <c r="I46" s="45" t="s">
        <v>99</v>
      </c>
      <c r="J46" s="44"/>
    </row>
    <row r="47" spans="1:10" ht="25.5" customHeight="1" x14ac:dyDescent="0.25">
      <c r="A47" s="16" t="s">
        <v>100</v>
      </c>
      <c r="B47" s="3">
        <v>1100</v>
      </c>
      <c r="C47" s="3">
        <v>1301080020</v>
      </c>
      <c r="D47" s="2" t="s">
        <v>68</v>
      </c>
      <c r="E47" s="15">
        <f>IF(ISERROR(VLOOKUP(A47,SAP,11,FALSE)=1),0,(VLOOKUP(A47,SAP,11,FALSE)))</f>
        <v>201.8</v>
      </c>
      <c r="G47" s="17">
        <f>SUM(E45:E47)</f>
        <v>0</v>
      </c>
      <c r="H47" s="16" t="str">
        <f>IF(E47&gt;=0,"","Should be Debit")</f>
        <v/>
      </c>
      <c r="I47" s="45" t="s">
        <v>101</v>
      </c>
      <c r="J47" s="46" t="s">
        <v>102</v>
      </c>
    </row>
    <row r="48" spans="1:10" ht="25.5" customHeight="1" x14ac:dyDescent="0.2">
      <c r="A48" s="16"/>
      <c r="C48" s="3"/>
      <c r="E48" s="15"/>
      <c r="G48" s="16"/>
      <c r="H48" s="16"/>
      <c r="I48" s="43"/>
      <c r="J48" s="44"/>
    </row>
    <row r="49" spans="1:10" ht="25.5" customHeight="1" x14ac:dyDescent="0.2">
      <c r="A49" s="16" t="s">
        <v>103</v>
      </c>
      <c r="B49" s="3">
        <v>1200</v>
      </c>
      <c r="C49" s="3">
        <v>2905028014</v>
      </c>
      <c r="D49" s="2" t="s">
        <v>62</v>
      </c>
      <c r="E49" s="15">
        <f>IF(ISERROR(VLOOKUP(A49,SAP,11,FALSE)=1),0,(VLOOKUP(A49,SAP,11,FALSE)))</f>
        <v>-455687.58</v>
      </c>
      <c r="G49" s="16"/>
      <c r="H49" s="16" t="str">
        <f>IF(E49&lt;=0,"","Should be Credit")</f>
        <v/>
      </c>
      <c r="I49" s="43"/>
      <c r="J49" s="44"/>
    </row>
    <row r="50" spans="1:10" ht="25.5" customHeight="1" x14ac:dyDescent="0.25">
      <c r="A50" s="16" t="s">
        <v>104</v>
      </c>
      <c r="B50" s="3">
        <v>2400</v>
      </c>
      <c r="C50" s="3">
        <v>1301080022</v>
      </c>
      <c r="D50" s="2" t="s">
        <v>28</v>
      </c>
      <c r="E50" s="15">
        <f>IF(ISERROR(VLOOKUP(A50,SAP,11,FALSE)=1),0,(VLOOKUP(A50,SAP,11,FALSE)))</f>
        <v>455687.58</v>
      </c>
      <c r="G50" s="17">
        <f>SUM(E49:E50)</f>
        <v>0</v>
      </c>
      <c r="H50" s="16" t="str">
        <f>IF(E50&gt;=0,"","Should be Debit")</f>
        <v/>
      </c>
      <c r="I50" s="45" t="s">
        <v>105</v>
      </c>
      <c r="J50" s="46" t="s">
        <v>106</v>
      </c>
    </row>
    <row r="51" spans="1:10" ht="25.5" customHeight="1" x14ac:dyDescent="0.2">
      <c r="A51" s="16" t="s">
        <v>107</v>
      </c>
      <c r="B51" s="3">
        <v>2400</v>
      </c>
      <c r="C51" s="3">
        <v>2905028016</v>
      </c>
      <c r="D51" s="2" t="s">
        <v>22</v>
      </c>
      <c r="E51" s="15">
        <f>IF(ISERROR(VLOOKUP(A51,SAP,11,FALSE)=1),0,(VLOOKUP(A51,SAP,11,FALSE)))</f>
        <v>-260.97000000000003</v>
      </c>
      <c r="G51" s="16"/>
      <c r="H51" s="16" t="str">
        <f>IF(E51&lt;=0,"","Should be Credit")</f>
        <v/>
      </c>
      <c r="I51" s="43"/>
      <c r="J51" s="44"/>
    </row>
    <row r="52" spans="1:10" ht="25.5" customHeight="1" x14ac:dyDescent="0.25">
      <c r="A52" s="16" t="s">
        <v>108</v>
      </c>
      <c r="B52" s="3">
        <v>1200</v>
      </c>
      <c r="C52" s="3">
        <v>1301080020</v>
      </c>
      <c r="D52" s="2" t="s">
        <v>68</v>
      </c>
      <c r="E52" s="15">
        <f>IF(ISERROR(VLOOKUP(A52,SAP,11,FALSE)=1),0,(VLOOKUP(A52,SAP,11,FALSE)))</f>
        <v>260.97000000000003</v>
      </c>
      <c r="G52" s="17">
        <f>SUM(E51:E52)</f>
        <v>0</v>
      </c>
      <c r="H52" s="16" t="str">
        <f>IF(E52&gt;=0,"","Should be Debit")</f>
        <v/>
      </c>
      <c r="I52" s="45" t="s">
        <v>109</v>
      </c>
      <c r="J52" s="46" t="s">
        <v>110</v>
      </c>
    </row>
    <row r="53" spans="1:10" ht="25.5" customHeight="1" x14ac:dyDescent="0.2">
      <c r="A53" s="16"/>
      <c r="C53" s="3"/>
      <c r="E53" s="15"/>
      <c r="G53" s="19"/>
      <c r="H53" s="16"/>
      <c r="I53" s="43"/>
      <c r="J53" s="44"/>
    </row>
    <row r="54" spans="1:10" ht="25.5" customHeight="1" x14ac:dyDescent="0.2">
      <c r="A54" s="16" t="s">
        <v>111</v>
      </c>
      <c r="B54" s="3">
        <v>1400</v>
      </c>
      <c r="C54" s="3">
        <v>2905028014</v>
      </c>
      <c r="D54" s="2" t="s">
        <v>62</v>
      </c>
      <c r="E54" s="15">
        <f>IF(ISERROR(VLOOKUP(A54,SAP,11,FALSE)=1),0,(VLOOKUP(A54,SAP,11,FALSE)))</f>
        <v>-13992.87</v>
      </c>
      <c r="G54" s="16"/>
      <c r="H54" s="16" t="str">
        <f>IF(E54&lt;=0,"","Should be Credit")</f>
        <v/>
      </c>
      <c r="I54" s="43"/>
      <c r="J54" s="44"/>
    </row>
    <row r="55" spans="1:10" ht="25.5" customHeight="1" x14ac:dyDescent="0.25">
      <c r="A55" s="16" t="s">
        <v>112</v>
      </c>
      <c r="B55" s="3">
        <v>2400</v>
      </c>
      <c r="C55" s="3">
        <v>1301120004</v>
      </c>
      <c r="D55" s="2" t="s">
        <v>38</v>
      </c>
      <c r="E55" s="15">
        <f>IF(ISERROR(VLOOKUP(A55,SAP,11,FALSE)=1),0,(VLOOKUP(A55,SAP,11,FALSE)))</f>
        <v>13992.87</v>
      </c>
      <c r="G55" s="17">
        <f>SUM(E54:E55)</f>
        <v>0</v>
      </c>
      <c r="H55" s="16" t="str">
        <f>IF(E55&gt;=0,"","Should be Debit")</f>
        <v/>
      </c>
      <c r="I55" s="45" t="s">
        <v>113</v>
      </c>
      <c r="J55" s="46" t="s">
        <v>114</v>
      </c>
    </row>
    <row r="56" spans="1:10" ht="25.5" customHeight="1" x14ac:dyDescent="0.2">
      <c r="A56" s="16" t="s">
        <v>115</v>
      </c>
      <c r="B56" s="3">
        <v>2400</v>
      </c>
      <c r="C56" s="3">
        <v>2905028003</v>
      </c>
      <c r="D56" s="2" t="s">
        <v>116</v>
      </c>
      <c r="E56" s="15">
        <f>IF(ISERROR(VLOOKUP(A56,SAP,11,FALSE)=1),0,(VLOOKUP(A56,SAP,11,FALSE)))</f>
        <v>0</v>
      </c>
      <c r="G56" s="16"/>
      <c r="H56" s="16" t="str">
        <f>IF(E56&lt;=0,"","Should be Credit")</f>
        <v/>
      </c>
      <c r="I56" s="43"/>
      <c r="J56" s="44"/>
    </row>
    <row r="57" spans="1:10" ht="25.5" customHeight="1" x14ac:dyDescent="0.25">
      <c r="A57" s="16" t="s">
        <v>117</v>
      </c>
      <c r="B57" s="3">
        <v>1400</v>
      </c>
      <c r="C57" s="3">
        <v>1301080020</v>
      </c>
      <c r="D57" s="2" t="s">
        <v>68</v>
      </c>
      <c r="E57" s="15">
        <f>IF(ISERROR(VLOOKUP(A57,SAP,11,FALSE)=1),0,(VLOOKUP(A57,SAP,11,FALSE)))</f>
        <v>0</v>
      </c>
      <c r="G57" s="17">
        <f>SUM(E56:E57)</f>
        <v>0</v>
      </c>
      <c r="H57" s="16" t="str">
        <f>IF(E57&gt;=0,"","Should be Debit")</f>
        <v/>
      </c>
      <c r="I57" s="45" t="s">
        <v>118</v>
      </c>
      <c r="J57" s="46" t="s">
        <v>119</v>
      </c>
    </row>
    <row r="58" spans="1:10" ht="25.5" customHeight="1" x14ac:dyDescent="0.2">
      <c r="A58" s="16"/>
      <c r="C58" s="3"/>
      <c r="E58" s="15"/>
      <c r="G58" s="16"/>
      <c r="H58" s="16"/>
      <c r="I58" s="43"/>
      <c r="J58" s="44"/>
    </row>
    <row r="59" spans="1:10" ht="25.5" customHeight="1" x14ac:dyDescent="0.2">
      <c r="A59" s="16" t="s">
        <v>120</v>
      </c>
      <c r="B59" s="3">
        <v>1400</v>
      </c>
      <c r="C59" s="3">
        <v>2905028001</v>
      </c>
      <c r="D59" s="2" t="s">
        <v>121</v>
      </c>
      <c r="E59" s="15">
        <f>IF(ISERROR(VLOOKUP(A59,SAP,11,FALSE)=1),0,(VLOOKUP(A59,SAP,11,FALSE)))</f>
        <v>0</v>
      </c>
      <c r="G59" s="16"/>
      <c r="H59" s="16" t="str">
        <f>IF(E59&lt;=0,"","Should be Credit")</f>
        <v/>
      </c>
      <c r="I59" s="43"/>
      <c r="J59" s="44"/>
    </row>
    <row r="60" spans="1:10" ht="25.5" customHeight="1" x14ac:dyDescent="0.25">
      <c r="A60" s="16" t="s">
        <v>122</v>
      </c>
      <c r="B60" s="3">
        <v>2500</v>
      </c>
      <c r="C60" s="3">
        <v>1301120004</v>
      </c>
      <c r="D60" s="2" t="s">
        <v>38</v>
      </c>
      <c r="E60" s="15">
        <f>IF(ISERROR(VLOOKUP(A60,SAP,11,FALSE)=1),0,(VLOOKUP(A60,SAP,11,FALSE)))</f>
        <v>0</v>
      </c>
      <c r="G60" s="17">
        <f>SUM(E59:E60)</f>
        <v>0</v>
      </c>
      <c r="H60" s="16" t="str">
        <f>IF(E60&gt;=0,"","Should be Debit")</f>
        <v/>
      </c>
      <c r="I60" s="45" t="s">
        <v>123</v>
      </c>
      <c r="J60" s="46" t="s">
        <v>124</v>
      </c>
    </row>
    <row r="61" spans="1:10" ht="25.5" customHeight="1" x14ac:dyDescent="0.2">
      <c r="A61" s="16" t="s">
        <v>125</v>
      </c>
      <c r="B61" s="3">
        <v>2500</v>
      </c>
      <c r="C61" s="3">
        <v>2905028003</v>
      </c>
      <c r="D61" s="2" t="s">
        <v>126</v>
      </c>
      <c r="E61" s="15">
        <f>IF(ISERROR(VLOOKUP(A61,SAP,11,FALSE)=1),0,(VLOOKUP(A61,SAP,11,FALSE)))</f>
        <v>0</v>
      </c>
      <c r="G61" s="16"/>
      <c r="H61" s="16" t="str">
        <f>IF(E61&lt;=0,"","Should be Credit")</f>
        <v/>
      </c>
      <c r="I61" s="43"/>
      <c r="J61" s="44"/>
    </row>
    <row r="62" spans="1:10" ht="25.5" customHeight="1" x14ac:dyDescent="0.25">
      <c r="A62" s="16" t="s">
        <v>127</v>
      </c>
      <c r="B62" s="3">
        <v>1400</v>
      </c>
      <c r="C62" s="3">
        <v>1301080004</v>
      </c>
      <c r="D62" s="2" t="s">
        <v>78</v>
      </c>
      <c r="E62" s="15">
        <f>IF(ISERROR(VLOOKUP(A62,SAP,11,FALSE)=1),0,(VLOOKUP(A62,SAP,11,FALSE)))</f>
        <v>0</v>
      </c>
      <c r="G62" s="17">
        <f>SUM(E61:E62)</f>
        <v>0</v>
      </c>
      <c r="H62" s="16" t="str">
        <f>IF(E62&gt;=0,"","Should be Debit")</f>
        <v/>
      </c>
      <c r="I62" s="45" t="s">
        <v>128</v>
      </c>
      <c r="J62" s="46" t="s">
        <v>129</v>
      </c>
    </row>
    <row r="63" spans="1:10" ht="25.5" customHeight="1" x14ac:dyDescent="0.2">
      <c r="A63" s="16"/>
      <c r="C63" s="3"/>
      <c r="E63" s="15"/>
      <c r="G63" s="19"/>
      <c r="H63" s="16"/>
      <c r="I63" s="43"/>
      <c r="J63" s="44"/>
    </row>
    <row r="64" spans="1:10" ht="25.5" customHeight="1" x14ac:dyDescent="0.25">
      <c r="A64" s="16" t="s">
        <v>130</v>
      </c>
      <c r="B64" s="3">
        <v>1500</v>
      </c>
      <c r="C64" s="3">
        <v>2905022005</v>
      </c>
      <c r="D64" s="2" t="s">
        <v>52</v>
      </c>
      <c r="E64" s="15">
        <f>IF(ISERROR(VLOOKUP(A64,SAP,11,FALSE)=1),0,(VLOOKUP(A64,SAP,11,FALSE)))</f>
        <v>3013.76</v>
      </c>
      <c r="G64" s="16"/>
      <c r="H64" s="9"/>
      <c r="I64" s="43"/>
      <c r="J64" s="46" t="s">
        <v>131</v>
      </c>
    </row>
    <row r="65" spans="1:10" ht="25.5" customHeight="1" x14ac:dyDescent="0.25">
      <c r="A65" s="16" t="s">
        <v>132</v>
      </c>
      <c r="B65" s="3">
        <v>2200</v>
      </c>
      <c r="C65" s="3">
        <v>1301110004</v>
      </c>
      <c r="D65" s="2" t="s">
        <v>133</v>
      </c>
      <c r="E65" s="15">
        <f>IF(ISERROR(VLOOKUP(A65,SAP,11,FALSE)=1),0,(VLOOKUP(A65,SAP,11,FALSE)))</f>
        <v>-3013.76</v>
      </c>
      <c r="G65" s="17">
        <f>SUM(E64:E65)</f>
        <v>0</v>
      </c>
      <c r="H65" s="9"/>
      <c r="I65" s="45" t="s">
        <v>134</v>
      </c>
      <c r="J65" s="46" t="s">
        <v>135</v>
      </c>
    </row>
    <row r="66" spans="1:10" ht="25.5" customHeight="1" x14ac:dyDescent="0.2">
      <c r="A66" s="16" t="s">
        <v>136</v>
      </c>
      <c r="B66" s="3">
        <v>2200</v>
      </c>
      <c r="C66" s="3">
        <v>2905028006</v>
      </c>
      <c r="D66" s="2" t="s">
        <v>137</v>
      </c>
      <c r="E66" s="15">
        <f>IF(ISERROR(VLOOKUP(A66,SAP,11,FALSE)=1),0,(VLOOKUP(A66,SAP,11,FALSE)))</f>
        <v>0</v>
      </c>
      <c r="G66" s="16"/>
      <c r="H66" s="16" t="str">
        <f>IF(E66&lt;=0,"","Should be Credit")</f>
        <v/>
      </c>
      <c r="I66" s="43"/>
      <c r="J66" s="44"/>
    </row>
    <row r="67" spans="1:10" ht="25.5" customHeight="1" x14ac:dyDescent="0.25">
      <c r="A67" s="16" t="s">
        <v>138</v>
      </c>
      <c r="B67" s="3">
        <v>1500</v>
      </c>
      <c r="C67" s="3">
        <v>1301080003</v>
      </c>
      <c r="D67" s="2" t="s">
        <v>139</v>
      </c>
      <c r="E67" s="15">
        <f>IF(ISERROR(VLOOKUP(A67,SAP,11,FALSE)=1),0,(VLOOKUP(A67,SAP,11,FALSE)))</f>
        <v>0</v>
      </c>
      <c r="G67" s="17">
        <f>SUM(E66:E67)</f>
        <v>0</v>
      </c>
      <c r="H67" s="16" t="str">
        <f>IF(E67&gt;=0,"","Should be Debit")</f>
        <v/>
      </c>
      <c r="I67" s="45" t="s">
        <v>140</v>
      </c>
      <c r="J67" s="46" t="s">
        <v>141</v>
      </c>
    </row>
    <row r="68" spans="1:10" ht="25.5" customHeight="1" x14ac:dyDescent="0.2">
      <c r="A68" s="16"/>
      <c r="C68" s="3"/>
      <c r="E68" s="15"/>
      <c r="G68" s="19"/>
      <c r="H68" s="16"/>
      <c r="I68" s="43"/>
      <c r="J68" s="44"/>
    </row>
    <row r="69" spans="1:10" ht="25.5" customHeight="1" x14ac:dyDescent="0.2">
      <c r="A69" s="16" t="str">
        <f>B69&amp;" "&amp;C69</f>
        <v>1500 2905028019</v>
      </c>
      <c r="B69" s="3">
        <v>1500</v>
      </c>
      <c r="C69" s="3">
        <v>2905028019</v>
      </c>
      <c r="D69" s="2" t="s">
        <v>142</v>
      </c>
      <c r="E69" s="15">
        <f>IF(ISERROR(VLOOKUP(A69,SAP,11,FALSE)=1),0,(VLOOKUP(A69,SAP,11,FALSE)))</f>
        <v>0</v>
      </c>
      <c r="G69" s="16"/>
      <c r="H69" s="16" t="str">
        <f>IF(E69&lt;=0,"","Should be Credit")</f>
        <v/>
      </c>
      <c r="I69" s="43"/>
      <c r="J69" s="44"/>
    </row>
    <row r="70" spans="1:10" ht="25.5" customHeight="1" x14ac:dyDescent="0.25">
      <c r="A70" s="16" t="str">
        <f>B70&amp;" "&amp;C70</f>
        <v>2200 1301110009</v>
      </c>
      <c r="B70" s="3">
        <v>2200</v>
      </c>
      <c r="C70" s="3">
        <v>1301110009</v>
      </c>
      <c r="D70" s="2" t="s">
        <v>143</v>
      </c>
      <c r="E70" s="15">
        <f>IF(ISERROR(VLOOKUP(A70,SAP,11,FALSE)=1),0,(VLOOKUP(A70,SAP,11,FALSE)))</f>
        <v>0</v>
      </c>
      <c r="G70" s="17">
        <f>SUM(E69:E70)</f>
        <v>0</v>
      </c>
      <c r="H70" s="16" t="str">
        <f>IF(E70&gt;=0,"","Should be Debit")</f>
        <v/>
      </c>
      <c r="I70" s="45" t="s">
        <v>144</v>
      </c>
      <c r="J70" s="46" t="s">
        <v>145</v>
      </c>
    </row>
    <row r="71" spans="1:10" ht="25.5" customHeight="1" x14ac:dyDescent="0.2">
      <c r="A71" s="16"/>
      <c r="C71" s="3"/>
      <c r="E71" s="15"/>
      <c r="G71" s="16"/>
      <c r="H71" s="16"/>
      <c r="I71" s="43"/>
      <c r="J71" s="44"/>
    </row>
    <row r="72" spans="1:10" ht="25.5" customHeight="1" x14ac:dyDescent="0.2">
      <c r="A72" s="16" t="s">
        <v>146</v>
      </c>
      <c r="B72" s="3">
        <v>1500</v>
      </c>
      <c r="C72" s="3">
        <v>2905028001</v>
      </c>
      <c r="D72" s="2" t="s">
        <v>72</v>
      </c>
      <c r="E72" s="15">
        <f t="shared" ref="E72:E77" si="0">IF(ISERROR(VLOOKUP(A72,SAP,11,FALSE)=1),0,(VLOOKUP(A72,SAP,11,FALSE)))</f>
        <v>0</v>
      </c>
      <c r="G72" s="16"/>
      <c r="H72" s="16" t="str">
        <f>IF(E72&lt;=0,"","Should be Credit")</f>
        <v/>
      </c>
      <c r="I72" s="43"/>
      <c r="J72" s="44"/>
    </row>
    <row r="73" spans="1:10" ht="25.5" customHeight="1" x14ac:dyDescent="0.25">
      <c r="A73" s="16" t="s">
        <v>147</v>
      </c>
      <c r="B73" s="3">
        <v>2500</v>
      </c>
      <c r="C73" s="3">
        <v>1301110004</v>
      </c>
      <c r="D73" s="2" t="s">
        <v>133</v>
      </c>
      <c r="E73" s="15">
        <f t="shared" si="0"/>
        <v>0</v>
      </c>
      <c r="G73" s="17">
        <f>SUM(E72:E73)</f>
        <v>0</v>
      </c>
      <c r="H73" s="16" t="str">
        <f>IF(E73&gt;=0,"","Should be Debit")</f>
        <v/>
      </c>
      <c r="I73" s="45" t="s">
        <v>148</v>
      </c>
      <c r="J73" s="46" t="s">
        <v>149</v>
      </c>
    </row>
    <row r="74" spans="1:10" ht="25.5" customHeight="1" x14ac:dyDescent="0.2">
      <c r="A74" s="16" t="s">
        <v>150</v>
      </c>
      <c r="B74" s="3">
        <v>2500</v>
      </c>
      <c r="C74" s="3">
        <v>2905028006</v>
      </c>
      <c r="D74" s="2" t="s">
        <v>137</v>
      </c>
      <c r="E74" s="15">
        <f t="shared" si="0"/>
        <v>0</v>
      </c>
      <c r="G74" s="16"/>
      <c r="H74" s="16" t="str">
        <f>IF(E74&lt;=0,"","Should be Credit")</f>
        <v/>
      </c>
      <c r="I74" s="43"/>
      <c r="J74" s="44"/>
    </row>
    <row r="75" spans="1:10" ht="25.5" customHeight="1" x14ac:dyDescent="0.25">
      <c r="A75" s="16" t="s">
        <v>151</v>
      </c>
      <c r="B75" s="3">
        <v>1500</v>
      </c>
      <c r="C75" s="3">
        <v>1301080004</v>
      </c>
      <c r="D75" s="2" t="s">
        <v>78</v>
      </c>
      <c r="E75" s="15">
        <f t="shared" si="0"/>
        <v>0</v>
      </c>
      <c r="G75" s="17">
        <f>SUM(E74:E75)</f>
        <v>0</v>
      </c>
      <c r="H75" s="16" t="str">
        <f>IF(E75&gt;=0,"","Should be Debit")</f>
        <v/>
      </c>
      <c r="I75" s="45" t="s">
        <v>152</v>
      </c>
      <c r="J75" s="46" t="s">
        <v>153</v>
      </c>
    </row>
    <row r="76" spans="1:10" ht="25.5" customHeight="1" x14ac:dyDescent="0.2">
      <c r="A76" s="16" t="str">
        <f>B76&amp;" "&amp;C76</f>
        <v>1500 2905028012</v>
      </c>
      <c r="B76" s="3">
        <v>1500</v>
      </c>
      <c r="C76" s="3">
        <v>2905028012</v>
      </c>
      <c r="D76" s="2" t="s">
        <v>154</v>
      </c>
      <c r="E76" s="15">
        <f t="shared" si="0"/>
        <v>0</v>
      </c>
      <c r="G76" s="16"/>
      <c r="H76" s="16" t="str">
        <f>IF(E76&lt;=0,"","Should be Credit")</f>
        <v/>
      </c>
      <c r="I76" s="43"/>
      <c r="J76" s="44"/>
    </row>
    <row r="77" spans="1:10" ht="25.5" customHeight="1" x14ac:dyDescent="0.25">
      <c r="A77" s="16" t="str">
        <f>B77&amp;" "&amp;C77</f>
        <v>2500 1301110009</v>
      </c>
      <c r="B77" s="3">
        <v>2500</v>
      </c>
      <c r="C77" s="3">
        <v>1301110009</v>
      </c>
      <c r="D77" s="2" t="s">
        <v>143</v>
      </c>
      <c r="E77" s="15">
        <f t="shared" si="0"/>
        <v>0</v>
      </c>
      <c r="G77" s="17">
        <f>SUM(E76:E77)</f>
        <v>0</v>
      </c>
      <c r="H77" s="16" t="str">
        <f>IF(E77&gt;=0,"","Should be Debit")</f>
        <v/>
      </c>
      <c r="I77" s="45" t="s">
        <v>155</v>
      </c>
      <c r="J77" s="46" t="s">
        <v>156</v>
      </c>
    </row>
    <row r="78" spans="1:10" ht="25.5" customHeight="1" x14ac:dyDescent="0.2">
      <c r="A78" s="16"/>
      <c r="C78" s="3"/>
      <c r="E78" s="15"/>
      <c r="G78" s="16"/>
      <c r="H78" s="16"/>
      <c r="I78" s="43"/>
      <c r="J78" s="44"/>
    </row>
    <row r="79" spans="1:10" ht="25.5" customHeight="1" x14ac:dyDescent="0.2">
      <c r="A79" s="16" t="s">
        <v>157</v>
      </c>
      <c r="B79" s="3">
        <v>2200</v>
      </c>
      <c r="C79" s="3">
        <v>2905028016</v>
      </c>
      <c r="D79" s="2" t="s">
        <v>22</v>
      </c>
      <c r="E79" s="15">
        <f>IF(ISERROR(VLOOKUP(A79,SAP,11,FALSE)=1),0,(VLOOKUP(A79,SAP,11,FALSE)))</f>
        <v>-38287.9</v>
      </c>
      <c r="G79" s="16"/>
      <c r="H79" s="16" t="str">
        <f>IF(E79&lt;=0,"","Should be Credit")</f>
        <v/>
      </c>
      <c r="I79" s="43"/>
      <c r="J79" s="44"/>
    </row>
    <row r="80" spans="1:10" ht="25.5" customHeight="1" x14ac:dyDescent="0.25">
      <c r="A80" s="16" t="s">
        <v>158</v>
      </c>
      <c r="B80" s="3">
        <v>1200</v>
      </c>
      <c r="C80" s="3">
        <v>1301080003</v>
      </c>
      <c r="D80" s="2" t="s">
        <v>60</v>
      </c>
      <c r="E80" s="15">
        <f>IF(ISERROR(VLOOKUP(A80,SAP,11,FALSE)=1),0,(VLOOKUP(A80,SAP,11,FALSE)))</f>
        <v>38287.9</v>
      </c>
      <c r="G80" s="17">
        <f>SUM(E79:E80)</f>
        <v>0</v>
      </c>
      <c r="H80" s="16" t="str">
        <f>IF(E80&gt;=0,"","Should be Debit")</f>
        <v/>
      </c>
      <c r="I80" s="45" t="s">
        <v>159</v>
      </c>
      <c r="J80" s="46" t="s">
        <v>160</v>
      </c>
    </row>
    <row r="81" spans="1:10" ht="25.5" customHeight="1" x14ac:dyDescent="0.2">
      <c r="A81" s="16"/>
      <c r="C81" s="3"/>
      <c r="E81" s="15"/>
      <c r="G81" s="19"/>
      <c r="H81" s="16"/>
      <c r="I81" s="43"/>
      <c r="J81" s="44"/>
    </row>
    <row r="82" spans="1:10" ht="25.5" customHeight="1" x14ac:dyDescent="0.2">
      <c r="A82" s="16" t="s">
        <v>161</v>
      </c>
      <c r="B82" s="3">
        <v>2200</v>
      </c>
      <c r="C82" s="3">
        <v>2905028014</v>
      </c>
      <c r="D82" s="2" t="s">
        <v>62</v>
      </c>
      <c r="E82" s="15">
        <f>IF(ISERROR(VLOOKUP(A82,SAP,11,FALSE)=1),0,(VLOOKUP(A82,SAP,11,FALSE)))</f>
        <v>-4840848.57</v>
      </c>
      <c r="G82" s="16"/>
      <c r="H82" s="16" t="str">
        <f>IF(E82&lt;=0,"","Should be Credit")</f>
        <v/>
      </c>
      <c r="I82" s="43"/>
      <c r="J82" s="44"/>
    </row>
    <row r="83" spans="1:10" ht="25.5" customHeight="1" x14ac:dyDescent="0.25">
      <c r="A83" s="16" t="s">
        <v>162</v>
      </c>
      <c r="B83" s="3">
        <v>2400</v>
      </c>
      <c r="C83" s="3">
        <v>1301080003</v>
      </c>
      <c r="D83" s="2" t="s">
        <v>60</v>
      </c>
      <c r="E83" s="15">
        <f>IF(ISERROR(VLOOKUP(A83,SAP,11,FALSE)=1),0,(VLOOKUP(A83,SAP,11,FALSE)))</f>
        <v>4840848.57</v>
      </c>
      <c r="G83" s="17">
        <f>SUM(E82:E83)</f>
        <v>0</v>
      </c>
      <c r="H83" s="16" t="str">
        <f>IF(E83&gt;=0,"","Should be Debit")</f>
        <v/>
      </c>
      <c r="I83" s="45" t="s">
        <v>163</v>
      </c>
      <c r="J83" s="46" t="s">
        <v>164</v>
      </c>
    </row>
    <row r="84" spans="1:10" ht="25.5" customHeight="1" x14ac:dyDescent="0.2">
      <c r="A84" s="16" t="s">
        <v>165</v>
      </c>
      <c r="B84" s="3">
        <v>2400</v>
      </c>
      <c r="C84" s="3">
        <v>2905022005</v>
      </c>
      <c r="D84" s="2" t="s">
        <v>52</v>
      </c>
      <c r="E84" s="15">
        <f>IF(ISERROR(VLOOKUP(A84,SAP,11,FALSE)=1),0,(VLOOKUP(A84,SAP,11,FALSE)))</f>
        <v>-1722144.86</v>
      </c>
      <c r="G84" s="16"/>
      <c r="H84" s="16" t="str">
        <f>IF(E84&lt;=0,"","Should be Credit")</f>
        <v/>
      </c>
      <c r="I84" s="43"/>
      <c r="J84" s="44"/>
    </row>
    <row r="85" spans="1:10" ht="25.5" customHeight="1" x14ac:dyDescent="0.25">
      <c r="A85" s="16" t="s">
        <v>166</v>
      </c>
      <c r="B85" s="3">
        <v>2200</v>
      </c>
      <c r="C85" s="3">
        <v>1301080020</v>
      </c>
      <c r="D85" s="2" t="s">
        <v>68</v>
      </c>
      <c r="E85" s="15">
        <f>IF(ISERROR(VLOOKUP(A85,SAP,11,FALSE)=1),0,(VLOOKUP(A85,SAP,11,FALSE)))</f>
        <v>1722144.86</v>
      </c>
      <c r="G85" s="17">
        <f>SUM(E84:E85)</f>
        <v>0</v>
      </c>
      <c r="H85" s="16" t="str">
        <f>IF(E85&gt;=0,"","Should be Debit")</f>
        <v/>
      </c>
      <c r="I85" s="45" t="s">
        <v>167</v>
      </c>
      <c r="J85" s="46" t="s">
        <v>168</v>
      </c>
    </row>
    <row r="86" spans="1:10" ht="25.5" customHeight="1" x14ac:dyDescent="0.2">
      <c r="A86" s="16"/>
      <c r="C86" s="3"/>
      <c r="E86" s="15"/>
      <c r="G86" s="19"/>
      <c r="H86" s="16"/>
      <c r="I86" s="43"/>
      <c r="J86" s="44"/>
    </row>
    <row r="87" spans="1:10" ht="25.5" customHeight="1" x14ac:dyDescent="0.2">
      <c r="A87" s="16" t="s">
        <v>169</v>
      </c>
      <c r="B87" s="3">
        <v>2200</v>
      </c>
      <c r="C87" s="3">
        <v>2905028001</v>
      </c>
      <c r="D87" s="2" t="s">
        <v>72</v>
      </c>
      <c r="E87" s="15">
        <f>IF(ISERROR(VLOOKUP(A87,SAP,11,FALSE)=1),0,(VLOOKUP(A87,SAP,11,FALSE)))</f>
        <v>-44240.47</v>
      </c>
      <c r="G87" s="16"/>
      <c r="H87" s="16" t="str">
        <f>IF(E87&lt;=0,"","Should be Credit")</f>
        <v/>
      </c>
      <c r="I87" s="43"/>
      <c r="J87" s="44"/>
    </row>
    <row r="88" spans="1:10" ht="25.5" customHeight="1" x14ac:dyDescent="0.25">
      <c r="A88" s="16" t="s">
        <v>170</v>
      </c>
      <c r="B88" s="3">
        <v>2500</v>
      </c>
      <c r="C88" s="3">
        <v>1301080003</v>
      </c>
      <c r="D88" s="2" t="s">
        <v>60</v>
      </c>
      <c r="E88" s="15">
        <f>IF(ISERROR(VLOOKUP(A88,SAP,11,FALSE)=1),0,(VLOOKUP(A88,SAP,11,FALSE)))</f>
        <v>44240.47</v>
      </c>
      <c r="G88" s="17">
        <f>SUM(E87:E88)</f>
        <v>0</v>
      </c>
      <c r="H88" s="16" t="str">
        <f>IF(E88&gt;=0,"","Should be Debit")</f>
        <v/>
      </c>
      <c r="I88" s="45" t="s">
        <v>171</v>
      </c>
      <c r="J88" s="46" t="s">
        <v>172</v>
      </c>
    </row>
    <row r="89" spans="1:10" ht="25.5" customHeight="1" x14ac:dyDescent="0.2">
      <c r="A89" s="16" t="s">
        <v>173</v>
      </c>
      <c r="B89" s="3">
        <v>2500</v>
      </c>
      <c r="C89" s="3">
        <v>2905022005</v>
      </c>
      <c r="D89" s="2" t="s">
        <v>52</v>
      </c>
      <c r="E89" s="15">
        <f>IF(ISERROR(VLOOKUP(A89,SAP,11,FALSE)=1),0,(VLOOKUP(A89,SAP,11,FALSE)))</f>
        <v>-171804.95</v>
      </c>
      <c r="G89" s="16"/>
      <c r="H89" s="16" t="str">
        <f>IF(E89&lt;=0,"","Should be Credit")</f>
        <v/>
      </c>
      <c r="I89" s="43"/>
      <c r="J89" s="44"/>
    </row>
    <row r="90" spans="1:10" ht="25.5" customHeight="1" x14ac:dyDescent="0.25">
      <c r="A90" s="16" t="s">
        <v>174</v>
      </c>
      <c r="B90" s="3">
        <v>2200</v>
      </c>
      <c r="C90" s="3">
        <v>1301080004</v>
      </c>
      <c r="D90" s="2" t="s">
        <v>78</v>
      </c>
      <c r="E90" s="15">
        <f>IF(ISERROR(VLOOKUP(A90,SAP,11,FALSE)=1),0,(VLOOKUP(A90,SAP,11,FALSE)))</f>
        <v>171804.95</v>
      </c>
      <c r="G90" s="17">
        <f>SUM(E89:E90)</f>
        <v>0</v>
      </c>
      <c r="H90" s="16" t="str">
        <f>IF(E90&gt;=0,"","Should be Debit")</f>
        <v/>
      </c>
      <c r="I90" s="45" t="s">
        <v>175</v>
      </c>
      <c r="J90" s="46" t="s">
        <v>176</v>
      </c>
    </row>
    <row r="91" spans="1:10" ht="25.5" customHeight="1" x14ac:dyDescent="0.2">
      <c r="A91" s="16"/>
      <c r="C91" s="3"/>
      <c r="E91" s="15"/>
      <c r="G91" s="16"/>
      <c r="H91" s="16"/>
      <c r="I91" s="43"/>
      <c r="J91" s="44"/>
    </row>
    <row r="92" spans="1:10" ht="25.5" customHeight="1" x14ac:dyDescent="0.2">
      <c r="A92" s="16" t="s">
        <v>177</v>
      </c>
      <c r="B92" s="3">
        <v>2400</v>
      </c>
      <c r="C92" s="3">
        <v>2905028001</v>
      </c>
      <c r="D92" s="2" t="s">
        <v>72</v>
      </c>
      <c r="E92" s="15">
        <f>IF(ISERROR(VLOOKUP(A92,SAP,11,FALSE)=1),0,(VLOOKUP(A92,SAP,11,FALSE)))</f>
        <v>-2058899.04</v>
      </c>
      <c r="G92" s="16"/>
      <c r="H92" s="16" t="str">
        <f>IF(E92&lt;=0,"","Should be Credit")</f>
        <v/>
      </c>
      <c r="I92" s="43"/>
      <c r="J92" s="44"/>
    </row>
    <row r="93" spans="1:10" ht="25.5" customHeight="1" x14ac:dyDescent="0.25">
      <c r="A93" s="16" t="s">
        <v>178</v>
      </c>
      <c r="B93" s="3">
        <v>2500</v>
      </c>
      <c r="C93" s="3">
        <v>1301080020</v>
      </c>
      <c r="D93" s="2" t="s">
        <v>68</v>
      </c>
      <c r="E93" s="15">
        <f>IF(ISERROR(VLOOKUP(A93,SAP,11,FALSE)=1),0,(VLOOKUP(A93,SAP,11,FALSE)))</f>
        <v>2058899.04</v>
      </c>
      <c r="G93" s="17">
        <f>SUM(E92:E93)</f>
        <v>0</v>
      </c>
      <c r="H93" s="16" t="str">
        <f>IF(E93&gt;=0,"","Should be Debit")</f>
        <v/>
      </c>
      <c r="I93" s="45" t="s">
        <v>179</v>
      </c>
      <c r="J93" s="46" t="s">
        <v>180</v>
      </c>
    </row>
    <row r="94" spans="1:10" ht="25.5" customHeight="1" x14ac:dyDescent="0.2">
      <c r="A94" s="16" t="s">
        <v>181</v>
      </c>
      <c r="B94" s="3">
        <v>2500</v>
      </c>
      <c r="C94" s="3">
        <v>2905028014</v>
      </c>
      <c r="D94" s="2" t="s">
        <v>62</v>
      </c>
      <c r="E94" s="15">
        <f>IF(ISERROR(VLOOKUP(A94,SAP,11,FALSE)=1),0,(VLOOKUP(A94,SAP,11,FALSE)))</f>
        <v>-1398577.37</v>
      </c>
      <c r="G94" s="16"/>
      <c r="H94" s="16" t="str">
        <f>IF(E94&lt;=0,"","Should be Credit")</f>
        <v/>
      </c>
      <c r="I94" s="43"/>
      <c r="J94" s="44"/>
    </row>
    <row r="95" spans="1:10" ht="25.5" customHeight="1" x14ac:dyDescent="0.25">
      <c r="A95" s="16" t="s">
        <v>182</v>
      </c>
      <c r="B95" s="3">
        <v>2400</v>
      </c>
      <c r="C95" s="3">
        <v>1301080004</v>
      </c>
      <c r="D95" s="2" t="s">
        <v>78</v>
      </c>
      <c r="E95" s="15">
        <f>IF(ISERROR(VLOOKUP(A95,SAP,11,FALSE)=1),0,(VLOOKUP(A95,SAP,11,FALSE)))</f>
        <v>1398577.37</v>
      </c>
      <c r="G95" s="17">
        <f>SUM(E94:E95)</f>
        <v>0</v>
      </c>
      <c r="H95" s="16" t="str">
        <f>IF(E95&gt;=0,"","Should be Debit")</f>
        <v/>
      </c>
      <c r="I95" s="45" t="s">
        <v>183</v>
      </c>
      <c r="J95" s="46" t="s">
        <v>184</v>
      </c>
    </row>
    <row r="96" spans="1:10" ht="25.5" customHeight="1" x14ac:dyDescent="0.2">
      <c r="A96" s="16"/>
      <c r="C96" s="3"/>
      <c r="E96" s="15"/>
      <c r="G96" s="16"/>
      <c r="H96" s="16"/>
      <c r="I96" s="43"/>
      <c r="J96" s="44"/>
    </row>
    <row r="97" spans="1:10" ht="25.5" customHeight="1" x14ac:dyDescent="0.2">
      <c r="A97" s="16" t="s">
        <v>185</v>
      </c>
      <c r="B97" s="3">
        <v>2500</v>
      </c>
      <c r="C97" s="3">
        <v>2905028016</v>
      </c>
      <c r="D97" s="2" t="s">
        <v>22</v>
      </c>
      <c r="E97" s="15">
        <f>IF(ISERROR(VLOOKUP(A97,SAP,11,FALSE)=1),0,(VLOOKUP(A97,SAP,11,FALSE)))</f>
        <v>0</v>
      </c>
      <c r="G97" s="16"/>
      <c r="H97" s="16" t="str">
        <f>IF(E97&lt;=0,"","Should be Credit")</f>
        <v/>
      </c>
      <c r="I97" s="43"/>
      <c r="J97" s="44"/>
    </row>
    <row r="98" spans="1:10" ht="25.5" customHeight="1" x14ac:dyDescent="0.25">
      <c r="A98" s="16" t="s">
        <v>186</v>
      </c>
      <c r="B98" s="3">
        <v>1200</v>
      </c>
      <c r="C98" s="3">
        <v>1301080004</v>
      </c>
      <c r="D98" s="2" t="s">
        <v>78</v>
      </c>
      <c r="E98" s="15">
        <f>IF(ISERROR(VLOOKUP(A98,SAP,11,FALSE)=1),0,(VLOOKUP(A98,SAP,11,FALSE)))</f>
        <v>0</v>
      </c>
      <c r="G98" s="17">
        <f>SUM(E97:E98)</f>
        <v>0</v>
      </c>
      <c r="H98" s="16" t="str">
        <f>IF(E98&gt;=0,"","Should be Debit")</f>
        <v/>
      </c>
      <c r="I98" s="45" t="s">
        <v>187</v>
      </c>
      <c r="J98" s="46" t="s">
        <v>188</v>
      </c>
    </row>
    <row r="99" spans="1:10" ht="25.5" customHeight="1" x14ac:dyDescent="0.2">
      <c r="A99" s="16"/>
      <c r="C99" s="3"/>
      <c r="E99" s="15"/>
      <c r="G99" s="19"/>
      <c r="H99" s="16"/>
      <c r="I99" s="43"/>
      <c r="J99" s="44"/>
    </row>
    <row r="100" spans="1:10" ht="25.5" customHeight="1" x14ac:dyDescent="0.2">
      <c r="A100" s="16"/>
      <c r="C100" s="3"/>
      <c r="E100" s="15"/>
      <c r="G100" s="16"/>
      <c r="H100" s="16"/>
      <c r="I100" s="43"/>
      <c r="J100" s="44"/>
    </row>
    <row r="101" spans="1:10" ht="25.5" customHeight="1" x14ac:dyDescent="0.2">
      <c r="A101" s="16" t="s">
        <v>189</v>
      </c>
      <c r="B101" s="3">
        <v>1800</v>
      </c>
      <c r="C101" s="3">
        <v>2905028014</v>
      </c>
      <c r="D101" s="2" t="s">
        <v>62</v>
      </c>
      <c r="E101" s="15">
        <f>IF(ISERROR(VLOOKUP(A101,SAP,11,FALSE)=1),0,(VLOOKUP(A101,SAP,11,FALSE)))</f>
        <v>-57536.34</v>
      </c>
      <c r="G101" s="19"/>
      <c r="H101" s="16" t="str">
        <f>IF(E101&lt;=0,"","Should be Credit")</f>
        <v/>
      </c>
      <c r="I101" s="43"/>
      <c r="J101" s="44"/>
    </row>
    <row r="102" spans="1:10" ht="25.5" customHeight="1" x14ac:dyDescent="0.25">
      <c r="A102" s="16" t="s">
        <v>190</v>
      </c>
      <c r="B102" s="3">
        <v>2400</v>
      </c>
      <c r="C102" s="3">
        <v>1301080018</v>
      </c>
      <c r="D102" s="2" t="s">
        <v>191</v>
      </c>
      <c r="E102" s="15">
        <f>IF(ISERROR(VLOOKUP(A102,SAP,11,FALSE)=1),0,(VLOOKUP(A102,SAP,11,FALSE)))</f>
        <v>57536.34</v>
      </c>
      <c r="G102" s="17">
        <f>SUM(E101:E102)</f>
        <v>0</v>
      </c>
      <c r="H102" s="16" t="str">
        <f>IF(E102&gt;=0,"","Should be Debit")</f>
        <v/>
      </c>
      <c r="I102" s="45" t="s">
        <v>192</v>
      </c>
      <c r="J102" s="46" t="s">
        <v>193</v>
      </c>
    </row>
    <row r="103" spans="1:10" ht="25.5" customHeight="1" x14ac:dyDescent="0.2">
      <c r="A103" s="16" t="s">
        <v>194</v>
      </c>
      <c r="B103" s="3">
        <v>1800</v>
      </c>
      <c r="C103" s="3">
        <v>1301080020</v>
      </c>
      <c r="D103" s="2" t="s">
        <v>68</v>
      </c>
      <c r="E103" s="15">
        <f>IF(ISERROR(VLOOKUP(A103,SAP,11,FALSE)=1),0,(VLOOKUP(A103,SAP,11,FALSE)))</f>
        <v>0</v>
      </c>
      <c r="G103" s="2"/>
      <c r="H103" s="16" t="str">
        <f>IF(E103&gt;=0,"","Should be Debit")</f>
        <v/>
      </c>
      <c r="I103" s="43"/>
      <c r="J103" s="44"/>
    </row>
    <row r="104" spans="1:10" ht="25.5" customHeight="1" x14ac:dyDescent="0.25">
      <c r="A104" s="16" t="s">
        <v>195</v>
      </c>
      <c r="B104" s="3">
        <v>2400</v>
      </c>
      <c r="C104" s="3">
        <v>2905028018</v>
      </c>
      <c r="D104" s="2" t="s">
        <v>196</v>
      </c>
      <c r="E104" s="15">
        <f>IF(ISERROR(VLOOKUP(A104,SAP,11,FALSE)=1),0,(VLOOKUP(A104,SAP,11,FALSE)))</f>
        <v>0</v>
      </c>
      <c r="G104" s="17">
        <f>SUM(E103:E104)</f>
        <v>0</v>
      </c>
      <c r="H104" s="16" t="str">
        <f>IF(E104&lt;=0,"","Should be Credit")</f>
        <v/>
      </c>
      <c r="I104" s="45" t="s">
        <v>197</v>
      </c>
      <c r="J104" s="46" t="s">
        <v>198</v>
      </c>
    </row>
    <row r="105" spans="1:10" ht="25.5" customHeight="1" x14ac:dyDescent="0.2">
      <c r="A105" s="16"/>
      <c r="C105" s="3"/>
      <c r="E105" s="15"/>
      <c r="G105" s="19"/>
      <c r="H105" s="16"/>
      <c r="I105" s="43"/>
      <c r="J105" s="44"/>
    </row>
    <row r="106" spans="1:10" ht="25.5" customHeight="1" x14ac:dyDescent="0.2">
      <c r="A106" s="16" t="str">
        <f>B106&amp;" "&amp;C106</f>
        <v>1000 2905028018</v>
      </c>
      <c r="B106" s="3">
        <v>1000</v>
      </c>
      <c r="C106" s="3">
        <v>2905028018</v>
      </c>
      <c r="D106" s="2" t="s">
        <v>196</v>
      </c>
      <c r="E106" s="15">
        <f>IF(ISERROR(VLOOKUP(A106,SAP,11,FALSE)=1),0,(VLOOKUP(A106,SAP,11,FALSE)))</f>
        <v>-175371.92</v>
      </c>
      <c r="G106" s="16"/>
      <c r="H106" s="16" t="str">
        <f>IF(E106&lt;=0,"","Should be Credit")</f>
        <v/>
      </c>
      <c r="I106" s="43"/>
      <c r="J106" s="44"/>
    </row>
    <row r="107" spans="1:10" ht="25.5" customHeight="1" x14ac:dyDescent="0.25">
      <c r="A107" s="16" t="str">
        <f>B107&amp;" "&amp;C107</f>
        <v>1800 1301110001</v>
      </c>
      <c r="B107" s="3">
        <v>1800</v>
      </c>
      <c r="C107" s="3">
        <v>1301110001</v>
      </c>
      <c r="D107" s="2" t="s">
        <v>12</v>
      </c>
      <c r="E107" s="15">
        <f>IF(ISERROR(VLOOKUP(A107,SAP,11,FALSE)=1),0,(VLOOKUP(A107,SAP,11,FALSE)))</f>
        <v>175371.92</v>
      </c>
      <c r="G107" s="17">
        <f>SUM(E106:E107)</f>
        <v>0</v>
      </c>
      <c r="H107" s="16" t="str">
        <f>IF(E107&gt;=0,"","Should be Debit")</f>
        <v/>
      </c>
      <c r="I107" s="45" t="s">
        <v>199</v>
      </c>
      <c r="J107" s="46" t="s">
        <v>200</v>
      </c>
    </row>
    <row r="108" spans="1:10" ht="25.5" customHeight="1" x14ac:dyDescent="0.2">
      <c r="A108" s="16" t="str">
        <f>B108&amp;" "&amp;C108</f>
        <v>1800 2905010001</v>
      </c>
      <c r="B108" s="3">
        <v>1800</v>
      </c>
      <c r="C108" s="3">
        <v>2905010001</v>
      </c>
      <c r="D108" s="2" t="s">
        <v>16</v>
      </c>
      <c r="E108" s="15">
        <f>IF(ISERROR(VLOOKUP(A108,SAP,11,FALSE)=1),0,(VLOOKUP(A108,SAP,11,FALSE)))</f>
        <v>-50719.5</v>
      </c>
      <c r="G108" s="16"/>
      <c r="H108" s="16" t="str">
        <f>IF(E108&lt;=0,"","Should be Credit")</f>
        <v/>
      </c>
      <c r="I108" s="43"/>
      <c r="J108" s="44"/>
    </row>
    <row r="109" spans="1:10" ht="25.5" customHeight="1" x14ac:dyDescent="0.25">
      <c r="A109" s="16" t="str">
        <f>B109&amp;" "&amp;C109</f>
        <v>1000 1301080018</v>
      </c>
      <c r="B109" s="3">
        <v>1000</v>
      </c>
      <c r="C109" s="3">
        <v>1301080018</v>
      </c>
      <c r="D109" s="2" t="s">
        <v>191</v>
      </c>
      <c r="E109" s="15">
        <f>IF(ISERROR(VLOOKUP(A109,SAP,11,FALSE)=1),0,(VLOOKUP(A109,SAP,11,FALSE)))</f>
        <v>50719.5</v>
      </c>
      <c r="G109" s="17">
        <f>SUM(E108:E109)</f>
        <v>0</v>
      </c>
      <c r="H109" s="16" t="str">
        <f>IF(E109&gt;=0,"","Should be Debit")</f>
        <v/>
      </c>
      <c r="I109" s="45" t="s">
        <v>201</v>
      </c>
      <c r="J109" s="46" t="s">
        <v>202</v>
      </c>
    </row>
    <row r="110" spans="1:10" ht="25.5" customHeight="1" x14ac:dyDescent="0.2">
      <c r="A110" s="16"/>
      <c r="C110" s="3"/>
      <c r="E110" s="15"/>
      <c r="G110" s="19"/>
      <c r="H110" s="16"/>
      <c r="I110" s="43"/>
      <c r="J110" s="44"/>
    </row>
    <row r="111" spans="1:10" ht="25.5" customHeight="1" x14ac:dyDescent="0.2">
      <c r="A111" s="16" t="s">
        <v>203</v>
      </c>
      <c r="B111" s="3">
        <v>2400</v>
      </c>
      <c r="C111" s="3">
        <v>2905028006</v>
      </c>
      <c r="D111" s="2" t="s">
        <v>204</v>
      </c>
      <c r="E111" s="15">
        <f>IF(ISERROR(VLOOKUP(A111,SAP,11,FALSE)=1),0,(VLOOKUP(A111,SAP,11,FALSE)))</f>
        <v>0</v>
      </c>
      <c r="G111" s="16"/>
      <c r="H111" s="16" t="str">
        <f>IF(E111&lt;=0,"","Should be Credit")</f>
        <v/>
      </c>
      <c r="I111" s="43"/>
      <c r="J111" s="44"/>
    </row>
    <row r="112" spans="1:10" ht="25.5" customHeight="1" x14ac:dyDescent="0.25">
      <c r="A112" s="16" t="s">
        <v>205</v>
      </c>
      <c r="B112" s="3">
        <v>1500</v>
      </c>
      <c r="C112" s="3">
        <v>1301080020</v>
      </c>
      <c r="D112" s="2" t="s">
        <v>206</v>
      </c>
      <c r="E112" s="15">
        <f>IF(ISERROR(VLOOKUP(A112,SAP,11,FALSE)=1),0,(VLOOKUP(A112,SAP,11,FALSE)))</f>
        <v>0</v>
      </c>
      <c r="G112" s="17">
        <f>SUM(E111:E112)</f>
        <v>0</v>
      </c>
      <c r="H112" s="16" t="str">
        <f>IF(E112&gt;=0,"","Should be Debit")</f>
        <v/>
      </c>
      <c r="I112" s="45" t="s">
        <v>207</v>
      </c>
      <c r="J112" s="46" t="s">
        <v>208</v>
      </c>
    </row>
    <row r="113" spans="1:10" ht="25.5" customHeight="1" x14ac:dyDescent="0.2">
      <c r="A113" s="16" t="s">
        <v>209</v>
      </c>
      <c r="B113" s="3">
        <v>1500</v>
      </c>
      <c r="C113" s="3">
        <v>2905028014</v>
      </c>
      <c r="D113" s="2" t="s">
        <v>210</v>
      </c>
      <c r="E113" s="15">
        <f>IF(ISERROR(VLOOKUP(A113,SAP,11,FALSE)=1),0,(VLOOKUP(A113,SAP,11,FALSE)))</f>
        <v>0</v>
      </c>
      <c r="G113" s="16"/>
      <c r="H113" s="16" t="str">
        <f>IF(E113&lt;=0,"","Should be Credit")</f>
        <v/>
      </c>
      <c r="I113" s="43"/>
      <c r="J113" s="44"/>
    </row>
    <row r="114" spans="1:10" ht="25.5" customHeight="1" x14ac:dyDescent="0.25">
      <c r="A114" s="16" t="s">
        <v>211</v>
      </c>
      <c r="B114" s="3">
        <v>2400</v>
      </c>
      <c r="C114" s="3">
        <v>1301110004</v>
      </c>
      <c r="D114" s="2" t="s">
        <v>212</v>
      </c>
      <c r="E114" s="15">
        <f>IF(ISERROR(VLOOKUP(A114,SAP,11,FALSE)=1),0,(VLOOKUP(A114,SAP,11,FALSE)))</f>
        <v>0</v>
      </c>
      <c r="G114" s="17">
        <f>SUM(E113:E114)</f>
        <v>0</v>
      </c>
      <c r="H114" s="16" t="str">
        <f>IF(E114&gt;=0,"","Should be Debit")</f>
        <v/>
      </c>
      <c r="I114" s="45" t="s">
        <v>213</v>
      </c>
      <c r="J114" s="46" t="s">
        <v>214</v>
      </c>
    </row>
    <row r="115" spans="1:10" ht="25.5" customHeight="1" x14ac:dyDescent="0.2">
      <c r="A115" s="16"/>
      <c r="C115" s="3"/>
      <c r="E115" s="15"/>
      <c r="G115" s="19"/>
      <c r="H115" s="16"/>
      <c r="I115" s="43"/>
      <c r="J115" s="44"/>
    </row>
    <row r="116" spans="1:10" ht="25.5" customHeight="1" x14ac:dyDescent="0.2">
      <c r="A116" s="16" t="s">
        <v>215</v>
      </c>
      <c r="B116" s="3">
        <v>2400</v>
      </c>
      <c r="C116" s="3">
        <v>2905028028</v>
      </c>
      <c r="D116" s="2" t="s">
        <v>216</v>
      </c>
      <c r="E116" s="15">
        <f>IF(ISERROR(VLOOKUP(A116,SAP,11,FALSE)=1),0,(VLOOKUP(A116,SAP,11,FALSE)))</f>
        <v>0</v>
      </c>
      <c r="G116" s="16"/>
      <c r="I116" s="43"/>
      <c r="J116" s="44"/>
    </row>
    <row r="117" spans="1:10" ht="25.5" customHeight="1" x14ac:dyDescent="0.25">
      <c r="A117" s="16" t="s">
        <v>217</v>
      </c>
      <c r="B117" s="3">
        <v>2810</v>
      </c>
      <c r="C117" s="3">
        <v>1301080020</v>
      </c>
      <c r="D117" s="2" t="s">
        <v>68</v>
      </c>
      <c r="E117" s="15">
        <f>IF(ISERROR(VLOOKUP(A117,SAP,11,FALSE)=1),0,(VLOOKUP(A117,SAP,11,FALSE)))</f>
        <v>0</v>
      </c>
      <c r="G117" s="17">
        <f>SUM(E116:E117)</f>
        <v>0</v>
      </c>
      <c r="I117" s="45" t="s">
        <v>218</v>
      </c>
      <c r="J117" s="46" t="s">
        <v>219</v>
      </c>
    </row>
    <row r="118" spans="1:10" ht="25.5" customHeight="1" x14ac:dyDescent="0.2">
      <c r="A118" s="16" t="s">
        <v>220</v>
      </c>
      <c r="B118" s="3">
        <v>2810</v>
      </c>
      <c r="C118" s="3">
        <v>2905028014</v>
      </c>
      <c r="D118" s="2" t="s">
        <v>62</v>
      </c>
      <c r="E118" s="15">
        <f>IF(ISERROR(VLOOKUP(A118,SAP,11,FALSE)=1),0,(VLOOKUP(A118,SAP,11,FALSE)))</f>
        <v>-364249.41</v>
      </c>
      <c r="G118" s="16"/>
      <c r="I118" s="43"/>
      <c r="J118" s="44"/>
    </row>
    <row r="119" spans="1:10" ht="25.5" customHeight="1" x14ac:dyDescent="0.25">
      <c r="A119" s="16" t="s">
        <v>221</v>
      </c>
      <c r="B119" s="3">
        <v>2400</v>
      </c>
      <c r="C119" s="3">
        <v>1301080033</v>
      </c>
      <c r="D119" s="2" t="s">
        <v>222</v>
      </c>
      <c r="E119" s="15">
        <f>IF(ISERROR(VLOOKUP(A119,SAP,11,FALSE)=1),0,(VLOOKUP(A119,SAP,11,FALSE)))</f>
        <v>364249.41</v>
      </c>
      <c r="G119" s="17">
        <f>SUM(E118:E119)</f>
        <v>0</v>
      </c>
      <c r="I119" s="45" t="s">
        <v>223</v>
      </c>
      <c r="J119" s="46" t="s">
        <v>224</v>
      </c>
    </row>
    <row r="120" spans="1:10" ht="25.5" customHeight="1" x14ac:dyDescent="0.2">
      <c r="A120" s="16"/>
      <c r="C120" s="3"/>
      <c r="E120" s="15"/>
      <c r="G120" s="19"/>
      <c r="I120" s="43"/>
      <c r="J120" s="44"/>
    </row>
    <row r="121" spans="1:10" ht="25.5" customHeight="1" x14ac:dyDescent="0.2">
      <c r="A121" s="16" t="s">
        <v>225</v>
      </c>
      <c r="B121" s="3">
        <v>2400</v>
      </c>
      <c r="C121" s="3">
        <v>2905028015</v>
      </c>
      <c r="D121" s="2" t="s">
        <v>82</v>
      </c>
      <c r="E121" s="15">
        <f>IF(ISERROR(VLOOKUP(A121,SAP,11,FALSE)=1),0,(VLOOKUP(A121,SAP,11,FALSE)))</f>
        <v>-521915</v>
      </c>
      <c r="G121" s="19"/>
      <c r="H121" s="16"/>
      <c r="I121" s="43"/>
      <c r="J121" s="44"/>
    </row>
    <row r="122" spans="1:10" ht="25.5" customHeight="1" x14ac:dyDescent="0.25">
      <c r="A122" s="16" t="s">
        <v>226</v>
      </c>
      <c r="B122" s="3">
        <v>2600</v>
      </c>
      <c r="C122" s="3">
        <v>1301080020</v>
      </c>
      <c r="D122" s="2" t="s">
        <v>68</v>
      </c>
      <c r="E122" s="15">
        <f>IF(ISERROR(VLOOKUP(A122,SAP,11,FALSE)=1),0,(VLOOKUP(A122,SAP,11,FALSE)))</f>
        <v>521915</v>
      </c>
      <c r="G122" s="17">
        <f>SUM(E121:E122)</f>
        <v>0</v>
      </c>
      <c r="H122" s="16"/>
      <c r="I122" s="45" t="s">
        <v>227</v>
      </c>
      <c r="J122" s="46" t="s">
        <v>228</v>
      </c>
    </row>
    <row r="123" spans="1:10" ht="25.5" customHeight="1" x14ac:dyDescent="0.2">
      <c r="A123" s="16" t="s">
        <v>229</v>
      </c>
      <c r="B123" s="3">
        <v>2600</v>
      </c>
      <c r="C123" s="3">
        <v>2905028014</v>
      </c>
      <c r="D123" s="2" t="s">
        <v>62</v>
      </c>
      <c r="E123" s="15">
        <f>IF(ISERROR(VLOOKUP(A123,SAP,11,FALSE)=1),0,(VLOOKUP(A123,SAP,11,FALSE)))</f>
        <v>-1196928.8400000001</v>
      </c>
      <c r="G123" s="16"/>
      <c r="H123" s="16"/>
      <c r="I123" s="43"/>
      <c r="J123" s="44"/>
    </row>
    <row r="124" spans="1:10" ht="25.5" customHeight="1" x14ac:dyDescent="0.25">
      <c r="A124" s="16" t="s">
        <v>230</v>
      </c>
      <c r="B124" s="3">
        <v>2400</v>
      </c>
      <c r="C124" s="3">
        <v>1301080021</v>
      </c>
      <c r="D124" s="2" t="s">
        <v>88</v>
      </c>
      <c r="E124" s="15">
        <f>IF(ISERROR(VLOOKUP(A124,SAP,11,FALSE)=1),0,(VLOOKUP(A124,SAP,11,FALSE)))</f>
        <v>1196928.8400000001</v>
      </c>
      <c r="G124" s="17">
        <f>SUM(E123:E124)</f>
        <v>0</v>
      </c>
      <c r="H124" s="16"/>
      <c r="I124" s="45" t="s">
        <v>231</v>
      </c>
      <c r="J124" s="46" t="s">
        <v>232</v>
      </c>
    </row>
    <row r="125" spans="1:10" ht="25.5" customHeight="1" x14ac:dyDescent="0.2">
      <c r="A125" s="16"/>
      <c r="C125" s="3"/>
      <c r="E125" s="15"/>
      <c r="G125" s="19"/>
      <c r="H125" s="16"/>
      <c r="I125" s="43"/>
      <c r="J125" s="44"/>
    </row>
    <row r="126" spans="1:10" ht="25.5" customHeight="1" x14ac:dyDescent="0.2">
      <c r="A126" s="16" t="s">
        <v>233</v>
      </c>
      <c r="B126" s="3">
        <v>1000</v>
      </c>
      <c r="C126" s="3" t="str">
        <f>RIGHT(A126,10)</f>
        <v>2905028025</v>
      </c>
      <c r="D126" s="2" t="s">
        <v>234</v>
      </c>
      <c r="E126" s="15">
        <f>IF(ISERROR(VLOOKUP(A126,SAP,11,FALSE)=1),0,(VLOOKUP(A126,SAP,11,FALSE)))</f>
        <v>0</v>
      </c>
      <c r="G126" s="19"/>
      <c r="H126" s="16"/>
      <c r="I126" s="43"/>
      <c r="J126" s="44"/>
    </row>
    <row r="127" spans="1:10" ht="25.5" customHeight="1" x14ac:dyDescent="0.25">
      <c r="A127" s="16" t="s">
        <v>235</v>
      </c>
      <c r="B127" s="3">
        <v>1860</v>
      </c>
      <c r="C127" s="3" t="str">
        <f>RIGHT(A127,10)</f>
        <v>1301110001</v>
      </c>
      <c r="D127" s="2" t="s">
        <v>12</v>
      </c>
      <c r="E127" s="15">
        <f>IF(ISERROR(VLOOKUP(A127,SAP,11,FALSE)=1),0,(VLOOKUP(A127,SAP,11,FALSE)))</f>
        <v>0</v>
      </c>
      <c r="G127" s="17">
        <f>SUM(E126:E127)</f>
        <v>0</v>
      </c>
      <c r="H127" s="16"/>
      <c r="I127" s="45" t="s">
        <v>236</v>
      </c>
      <c r="J127" s="46" t="s">
        <v>237</v>
      </c>
    </row>
    <row r="128" spans="1:10" ht="25.5" customHeight="1" x14ac:dyDescent="0.2">
      <c r="A128" s="16" t="s">
        <v>238</v>
      </c>
      <c r="B128" s="3">
        <v>1860</v>
      </c>
      <c r="C128" s="3" t="str">
        <f>RIGHT(A128,10)</f>
        <v>2905010001</v>
      </c>
      <c r="D128" s="2" t="s">
        <v>16</v>
      </c>
      <c r="E128" s="15">
        <f>IF(ISERROR(VLOOKUP(A128,SAP,11,FALSE)=1),0,(VLOOKUP(A128,SAP,11,FALSE)))</f>
        <v>0</v>
      </c>
      <c r="G128" s="19"/>
      <c r="H128" s="16"/>
      <c r="I128" s="43"/>
      <c r="J128" s="44"/>
    </row>
    <row r="129" spans="1:10" ht="25.5" customHeight="1" x14ac:dyDescent="0.25">
      <c r="A129" s="16" t="s">
        <v>239</v>
      </c>
      <c r="B129" s="3">
        <v>1000</v>
      </c>
      <c r="C129" s="3" t="str">
        <f>RIGHT(A129,10)</f>
        <v>1301080030</v>
      </c>
      <c r="D129" s="2" t="s">
        <v>240</v>
      </c>
      <c r="E129" s="15">
        <f>IF(ISERROR(VLOOKUP(A129,SAP,11,FALSE)=1),0,(VLOOKUP(A129,SAP,11,FALSE)))</f>
        <v>0</v>
      </c>
      <c r="G129" s="17">
        <f>SUM(E128:E129)</f>
        <v>0</v>
      </c>
      <c r="H129" s="16"/>
      <c r="I129" s="45" t="s">
        <v>241</v>
      </c>
      <c r="J129" s="46" t="s">
        <v>242</v>
      </c>
    </row>
    <row r="130" spans="1:10" ht="25.5" customHeight="1" x14ac:dyDescent="0.2">
      <c r="A130" s="16"/>
      <c r="C130" s="3"/>
      <c r="E130" s="15"/>
      <c r="G130" s="19"/>
      <c r="H130" s="16"/>
      <c r="I130" s="43"/>
      <c r="J130" s="44"/>
    </row>
    <row r="131" spans="1:10" ht="25.5" customHeight="1" x14ac:dyDescent="0.2">
      <c r="A131" s="16" t="s">
        <v>243</v>
      </c>
      <c r="B131" s="3">
        <v>1860</v>
      </c>
      <c r="C131" s="3" t="str">
        <f>RIGHT(A131,10)</f>
        <v>2905028018</v>
      </c>
      <c r="D131" s="2" t="s">
        <v>196</v>
      </c>
      <c r="E131" s="15">
        <f>IF(ISERROR(VLOOKUP(A131,SAP,11,FALSE)=1),0,(VLOOKUP(A131,SAP,11,FALSE)))</f>
        <v>0</v>
      </c>
      <c r="G131" s="19"/>
      <c r="H131" s="16"/>
      <c r="I131" s="43"/>
      <c r="J131" s="44"/>
    </row>
    <row r="132" spans="1:10" ht="25.5" customHeight="1" x14ac:dyDescent="0.25">
      <c r="A132" s="16" t="s">
        <v>244</v>
      </c>
      <c r="B132" s="3">
        <v>1800</v>
      </c>
      <c r="C132" s="3" t="str">
        <f>RIGHT(A132,10)</f>
        <v>1301080030</v>
      </c>
      <c r="D132" s="2" t="s">
        <v>240</v>
      </c>
      <c r="E132" s="15">
        <f>IF(ISERROR(VLOOKUP(A132,SAP,11,FALSE)=1),0,(VLOOKUP(A132,SAP,11,FALSE)))</f>
        <v>0</v>
      </c>
      <c r="G132" s="17">
        <f>SUM(E131:E132)</f>
        <v>0</v>
      </c>
      <c r="H132" s="16"/>
      <c r="I132" s="45" t="s">
        <v>245</v>
      </c>
      <c r="J132" s="46" t="s">
        <v>246</v>
      </c>
    </row>
    <row r="133" spans="1:10" ht="25.5" customHeight="1" x14ac:dyDescent="0.2">
      <c r="A133" s="16"/>
      <c r="C133" s="3"/>
      <c r="E133" s="15"/>
      <c r="G133" s="19"/>
      <c r="H133" s="16"/>
      <c r="I133" s="43"/>
      <c r="J133" s="44"/>
    </row>
    <row r="134" spans="1:10" ht="25.5" customHeight="1" x14ac:dyDescent="0.2">
      <c r="A134" s="16" t="s">
        <v>247</v>
      </c>
      <c r="B134" s="3">
        <v>1830</v>
      </c>
      <c r="C134" s="3" t="str">
        <f>RIGHT(A134,10)</f>
        <v>2905010001</v>
      </c>
      <c r="D134" s="2" t="s">
        <v>16</v>
      </c>
      <c r="E134" s="15">
        <f>IF(ISERROR(VLOOKUP(A134,SAP,11,FALSE)=1),0,(VLOOKUP(A134,SAP,11,FALSE)))</f>
        <v>0</v>
      </c>
      <c r="G134" s="19"/>
      <c r="H134" s="16"/>
      <c r="I134" s="43"/>
      <c r="J134" s="44"/>
    </row>
    <row r="135" spans="1:10" ht="25.5" customHeight="1" x14ac:dyDescent="0.25">
      <c r="A135" s="16" t="s">
        <v>248</v>
      </c>
      <c r="B135" s="3">
        <v>1000</v>
      </c>
      <c r="C135" s="3" t="str">
        <f>RIGHT(A135,10)</f>
        <v>1301080026</v>
      </c>
      <c r="D135" s="2" t="s">
        <v>249</v>
      </c>
      <c r="E135" s="15">
        <f>IF(ISERROR(VLOOKUP(A135,SAP,11,FALSE)=1),0,(VLOOKUP(A135,SAP,11,FALSE)))</f>
        <v>0</v>
      </c>
      <c r="G135" s="17">
        <f>SUM(E134:E135)</f>
        <v>0</v>
      </c>
      <c r="H135" s="16"/>
      <c r="I135" s="45" t="s">
        <v>250</v>
      </c>
      <c r="J135" s="46" t="s">
        <v>251</v>
      </c>
    </row>
    <row r="136" spans="1:10" ht="25.5" customHeight="1" x14ac:dyDescent="0.2">
      <c r="A136" s="16"/>
      <c r="C136" s="3" t="str">
        <f>RIGHT(A136,10)</f>
        <v/>
      </c>
      <c r="E136" s="15"/>
      <c r="G136" s="19"/>
      <c r="H136" s="16"/>
      <c r="I136" s="43"/>
      <c r="J136" s="44"/>
    </row>
    <row r="137" spans="1:10" ht="25.5" customHeight="1" x14ac:dyDescent="0.2">
      <c r="A137" s="16" t="s">
        <v>252</v>
      </c>
      <c r="B137" s="3">
        <v>1840</v>
      </c>
      <c r="C137" s="3" t="str">
        <f>RIGHT(A137,10)</f>
        <v>2905010001</v>
      </c>
      <c r="D137" s="2" t="s">
        <v>16</v>
      </c>
      <c r="E137" s="15">
        <f>IF(ISERROR(VLOOKUP(A137,SAP,11,FALSE)=1),0,(VLOOKUP(A137,SAP,11,FALSE)))</f>
        <v>-9701.39</v>
      </c>
      <c r="G137" s="19"/>
      <c r="H137" s="16"/>
      <c r="I137" s="43"/>
      <c r="J137" s="44"/>
    </row>
    <row r="138" spans="1:10" ht="25.5" customHeight="1" x14ac:dyDescent="0.25">
      <c r="A138" s="16" t="s">
        <v>253</v>
      </c>
      <c r="B138" s="3">
        <v>1000</v>
      </c>
      <c r="C138" s="3" t="str">
        <f>RIGHT(A138,10)</f>
        <v>1301080029</v>
      </c>
      <c r="D138" s="2" t="s">
        <v>254</v>
      </c>
      <c r="E138" s="15">
        <f>IF(ISERROR(VLOOKUP(A138,SAP,11,FALSE)=1),0,(VLOOKUP(A138,SAP,11,FALSE)))</f>
        <v>9701.39</v>
      </c>
      <c r="G138" s="17">
        <f>SUM(E137:E138)</f>
        <v>0</v>
      </c>
      <c r="H138" s="16"/>
      <c r="I138" s="45" t="s">
        <v>255</v>
      </c>
      <c r="J138" s="46" t="s">
        <v>256</v>
      </c>
    </row>
    <row r="139" spans="1:10" ht="25.5" customHeight="1" x14ac:dyDescent="0.2">
      <c r="A139" s="16"/>
      <c r="C139" s="3"/>
      <c r="E139" s="15"/>
      <c r="G139" s="19"/>
      <c r="H139" s="16"/>
      <c r="I139" s="43"/>
      <c r="J139" s="44"/>
    </row>
    <row r="140" spans="1:10" ht="25.5" customHeight="1" x14ac:dyDescent="0.2">
      <c r="A140" s="16" t="s">
        <v>257</v>
      </c>
      <c r="B140" s="3">
        <v>2400</v>
      </c>
      <c r="C140" s="3" t="str">
        <f>RIGHT(A140,10)</f>
        <v>2905028025</v>
      </c>
      <c r="D140" s="2" t="s">
        <v>234</v>
      </c>
      <c r="E140" s="15">
        <f>IF(ISERROR(VLOOKUP(A140,SAP,11,FALSE)=1),0,(VLOOKUP(A140,SAP,11,FALSE)))</f>
        <v>0</v>
      </c>
      <c r="G140" s="19"/>
      <c r="H140" s="16"/>
      <c r="I140" s="43"/>
      <c r="J140" s="44"/>
    </row>
    <row r="141" spans="1:10" ht="25.5" customHeight="1" x14ac:dyDescent="0.25">
      <c r="A141" s="16" t="s">
        <v>258</v>
      </c>
      <c r="B141" s="3">
        <v>1860</v>
      </c>
      <c r="C141" s="3" t="str">
        <f>RIGHT(A141,10)</f>
        <v>1301080020</v>
      </c>
      <c r="D141" s="2" t="s">
        <v>259</v>
      </c>
      <c r="E141" s="15">
        <f>IF(ISERROR(VLOOKUP(A141,SAP,11,FALSE)=1),0,(VLOOKUP(A141,SAP,11,FALSE)))</f>
        <v>0</v>
      </c>
      <c r="G141" s="17">
        <f>SUM(E140:E141)</f>
        <v>0</v>
      </c>
      <c r="H141" s="16"/>
      <c r="I141" s="45" t="s">
        <v>260</v>
      </c>
      <c r="J141" s="46" t="s">
        <v>261</v>
      </c>
    </row>
    <row r="142" spans="1:10" ht="25.5" customHeight="1" x14ac:dyDescent="0.2">
      <c r="A142" s="16" t="s">
        <v>262</v>
      </c>
      <c r="B142" s="3">
        <v>1860</v>
      </c>
      <c r="C142" s="3" t="str">
        <f>RIGHT(A142,10)</f>
        <v>2905028014</v>
      </c>
      <c r="D142" s="2" t="s">
        <v>62</v>
      </c>
      <c r="E142" s="15">
        <f>IF(ISERROR(VLOOKUP(A142,SAP,11,FALSE)=1),0,(VLOOKUP(A142,SAP,11,FALSE)))</f>
        <v>-860.95</v>
      </c>
      <c r="G142" s="19"/>
      <c r="H142" s="16"/>
      <c r="I142" s="43"/>
      <c r="J142" s="44"/>
    </row>
    <row r="143" spans="1:10" ht="25.5" customHeight="1" x14ac:dyDescent="0.25">
      <c r="A143" s="16" t="s">
        <v>263</v>
      </c>
      <c r="B143" s="3">
        <v>2400</v>
      </c>
      <c r="C143" s="3" t="str">
        <f>RIGHT(A143,10)</f>
        <v>1301080030</v>
      </c>
      <c r="D143" s="2" t="s">
        <v>240</v>
      </c>
      <c r="E143" s="15">
        <f>IF(ISERROR(VLOOKUP(A143,SAP,11,FALSE)=1),0,(VLOOKUP(A143,SAP,11,FALSE)))</f>
        <v>860.95</v>
      </c>
      <c r="G143" s="17">
        <f>SUM(E142:E143)</f>
        <v>0</v>
      </c>
      <c r="H143" s="16"/>
      <c r="I143" s="45" t="s">
        <v>264</v>
      </c>
      <c r="J143" s="46" t="s">
        <v>265</v>
      </c>
    </row>
    <row r="144" spans="1:10" ht="25.5" customHeight="1" x14ac:dyDescent="0.2">
      <c r="A144" s="16"/>
      <c r="C144" s="3"/>
      <c r="E144" s="15"/>
      <c r="G144" s="19"/>
      <c r="H144" s="16"/>
      <c r="I144" s="43"/>
      <c r="J144" s="44"/>
    </row>
    <row r="145" spans="1:208" ht="25.5" customHeight="1" x14ac:dyDescent="0.2">
      <c r="A145" s="16" t="s">
        <v>266</v>
      </c>
      <c r="B145" s="3">
        <v>1000</v>
      </c>
      <c r="C145" s="3">
        <v>2905028028</v>
      </c>
      <c r="D145" s="2" t="s">
        <v>216</v>
      </c>
      <c r="E145" s="15">
        <f>IF(ISERROR(VLOOKUP(A145,SAP,11,FALSE)=1),0,(VLOOKUP(A145,SAP,11,FALSE)))</f>
        <v>0</v>
      </c>
      <c r="G145" s="16"/>
      <c r="H145" s="16"/>
      <c r="I145" s="43"/>
      <c r="J145" s="44"/>
    </row>
    <row r="146" spans="1:208" ht="25.5" customHeight="1" x14ac:dyDescent="0.25">
      <c r="A146" s="16" t="s">
        <v>267</v>
      </c>
      <c r="B146" s="3">
        <v>2810</v>
      </c>
      <c r="C146" s="3">
        <v>1301110001</v>
      </c>
      <c r="D146" s="2" t="s">
        <v>12</v>
      </c>
      <c r="E146" s="15">
        <f>IF(ISERROR(VLOOKUP(A146,SAP,11,FALSE)=1),0,(VLOOKUP(A146,SAP,11,FALSE)))</f>
        <v>0</v>
      </c>
      <c r="G146" s="17">
        <f>SUM(E145:E146)</f>
        <v>0</v>
      </c>
      <c r="H146" s="16"/>
      <c r="I146" s="45" t="s">
        <v>268</v>
      </c>
      <c r="J146" s="46" t="s">
        <v>269</v>
      </c>
    </row>
    <row r="147" spans="1:208" ht="25.5" customHeight="1" x14ac:dyDescent="0.2">
      <c r="A147" s="16" t="s">
        <v>270</v>
      </c>
      <c r="B147" s="3">
        <v>2810</v>
      </c>
      <c r="C147" s="3">
        <v>2905010001</v>
      </c>
      <c r="D147" s="2" t="s">
        <v>16</v>
      </c>
      <c r="E147" s="15">
        <f>IF(ISERROR(VLOOKUP(A147,SAP,11,FALSE)=1),0,(VLOOKUP(A147,SAP,11,FALSE)))</f>
        <v>-41244</v>
      </c>
      <c r="G147" s="16"/>
      <c r="H147" s="16"/>
      <c r="I147" s="43"/>
      <c r="J147" s="44"/>
    </row>
    <row r="148" spans="1:208" ht="25.5" customHeight="1" x14ac:dyDescent="0.25">
      <c r="A148" s="16" t="s">
        <v>271</v>
      </c>
      <c r="B148" s="3">
        <v>1000</v>
      </c>
      <c r="C148" s="3">
        <v>1301080033</v>
      </c>
      <c r="D148" s="2" t="s">
        <v>222</v>
      </c>
      <c r="E148" s="15">
        <f>IF(ISERROR(VLOOKUP(A148,SAP,11,FALSE)=1),0,(VLOOKUP(A148,SAP,11,FALSE)))</f>
        <v>41244</v>
      </c>
      <c r="G148" s="17">
        <f>SUM(E147:E148)</f>
        <v>0</v>
      </c>
      <c r="H148" s="16"/>
      <c r="I148" s="45" t="s">
        <v>272</v>
      </c>
      <c r="J148" s="46" t="s">
        <v>273</v>
      </c>
    </row>
    <row r="149" spans="1:208" ht="25.5" customHeight="1" x14ac:dyDescent="0.2">
      <c r="A149" s="16" t="s">
        <v>131</v>
      </c>
      <c r="E149" s="15"/>
      <c r="I149" s="43"/>
      <c r="J149" s="44"/>
    </row>
    <row r="150" spans="1:208" ht="25.5" customHeight="1" x14ac:dyDescent="0.2">
      <c r="A150" s="16" t="s">
        <v>274</v>
      </c>
      <c r="B150" s="3">
        <v>2200</v>
      </c>
      <c r="C150" s="3">
        <v>2905028015</v>
      </c>
      <c r="D150" s="2" t="s">
        <v>275</v>
      </c>
      <c r="E150" s="15">
        <f>IF(ISERROR(VLOOKUP(A150,SAP,11,FALSE)=1),0,(VLOOKUP(A150,SAP,11,FALSE)))</f>
        <v>-18774</v>
      </c>
      <c r="G150" s="16"/>
      <c r="I150" s="43"/>
      <c r="J150" s="44"/>
    </row>
    <row r="151" spans="1:208" ht="25.5" customHeight="1" x14ac:dyDescent="0.25">
      <c r="A151" s="16" t="s">
        <v>276</v>
      </c>
      <c r="B151" s="3">
        <v>2600</v>
      </c>
      <c r="C151" s="3">
        <v>1301080003</v>
      </c>
      <c r="D151" s="2" t="s">
        <v>60</v>
      </c>
      <c r="E151" s="15">
        <f>IF(ISERROR(VLOOKUP(A151,SAP,11,FALSE)=1),0,(VLOOKUP(A151,SAP,11,FALSE)))</f>
        <v>18774</v>
      </c>
      <c r="G151" s="17">
        <f>SUM(E150:E151)</f>
        <v>0</v>
      </c>
      <c r="I151" s="45" t="s">
        <v>277</v>
      </c>
      <c r="J151" s="46" t="s">
        <v>278</v>
      </c>
    </row>
    <row r="152" spans="1:208" ht="25.5" customHeight="1" x14ac:dyDescent="0.2">
      <c r="A152" s="16" t="s">
        <v>279</v>
      </c>
      <c r="B152" s="3">
        <v>2600</v>
      </c>
      <c r="C152" s="3">
        <v>2905022005</v>
      </c>
      <c r="D152" s="2" t="s">
        <v>52</v>
      </c>
      <c r="E152" s="15">
        <f>IF(ISERROR(VLOOKUP(A152,SAP,11,FALSE)=1),0,(VLOOKUP(A152,SAP,11,FALSE)))</f>
        <v>0</v>
      </c>
      <c r="G152" s="16"/>
      <c r="I152" s="43"/>
      <c r="J152" s="44"/>
    </row>
    <row r="153" spans="1:208" ht="25.5" customHeight="1" x14ac:dyDescent="0.25">
      <c r="A153" s="16" t="s">
        <v>280</v>
      </c>
      <c r="B153" s="3">
        <v>2200</v>
      </c>
      <c r="C153" s="3">
        <v>1301080021</v>
      </c>
      <c r="D153" s="2" t="s">
        <v>88</v>
      </c>
      <c r="E153" s="15">
        <f>IF(ISERROR(VLOOKUP(A153,SAP,11,FALSE)=1),0,(VLOOKUP(A153,SAP,11,FALSE)))</f>
        <v>0</v>
      </c>
      <c r="G153" s="17">
        <f>SUM(E152:E153)</f>
        <v>0</v>
      </c>
      <c r="I153" s="45" t="s">
        <v>281</v>
      </c>
      <c r="J153" s="46" t="s">
        <v>282</v>
      </c>
    </row>
    <row r="154" spans="1:208" ht="25.5" customHeight="1" x14ac:dyDescent="0.2">
      <c r="E154" s="15"/>
      <c r="I154" s="43"/>
      <c r="J154" s="44"/>
    </row>
    <row r="155" spans="1:208" ht="25.5" customHeight="1" x14ac:dyDescent="0.2">
      <c r="A155" s="16" t="s">
        <v>283</v>
      </c>
      <c r="B155" s="3">
        <v>1860</v>
      </c>
      <c r="C155" s="3">
        <v>1301080004</v>
      </c>
      <c r="D155" s="2" t="s">
        <v>78</v>
      </c>
      <c r="E155" s="15">
        <f>IF(ISERROR(VLOOKUP(A155,SAP,11,FALSE)=1),0,(VLOOKUP(A155,SAP,11,FALSE)))</f>
        <v>0</v>
      </c>
      <c r="G155" s="16"/>
      <c r="I155" s="43"/>
      <c r="J155" s="44"/>
    </row>
    <row r="156" spans="1:208" ht="25.5" customHeight="1" x14ac:dyDescent="0.25">
      <c r="A156" s="16" t="s">
        <v>284</v>
      </c>
      <c r="B156" s="3">
        <v>2500</v>
      </c>
      <c r="C156" s="3">
        <v>2905028025</v>
      </c>
      <c r="D156" s="2" t="s">
        <v>234</v>
      </c>
      <c r="E156" s="15">
        <f>IF(ISERROR(VLOOKUP(A156,SAP,11,FALSE)=1),0,(VLOOKUP(A156,SAP,11,FALSE)))</f>
        <v>0</v>
      </c>
      <c r="G156" s="17">
        <f>SUM(E155:E156)</f>
        <v>0</v>
      </c>
      <c r="I156" s="45" t="s">
        <v>285</v>
      </c>
      <c r="J156" s="46" t="s">
        <v>286</v>
      </c>
    </row>
    <row r="157" spans="1:208" ht="25.5" customHeight="1" x14ac:dyDescent="0.2">
      <c r="A157" s="16" t="s">
        <v>287</v>
      </c>
      <c r="B157" s="3">
        <v>2500</v>
      </c>
      <c r="C157" s="3">
        <v>1301080030</v>
      </c>
      <c r="D157" s="2" t="s">
        <v>240</v>
      </c>
      <c r="E157" s="15">
        <f>IF(ISERROR(VLOOKUP(A157,SAP,11,FALSE)=1),0,(VLOOKUP(A157,SAP,11,FALSE)))</f>
        <v>0</v>
      </c>
      <c r="G157" s="16"/>
      <c r="I157" s="43"/>
      <c r="J157" s="44"/>
    </row>
    <row r="158" spans="1:208" ht="25.5" customHeight="1" x14ac:dyDescent="0.25">
      <c r="A158" s="16" t="s">
        <v>288</v>
      </c>
      <c r="B158" s="3">
        <v>1860</v>
      </c>
      <c r="C158" s="3">
        <v>2905028001</v>
      </c>
      <c r="D158" s="2" t="s">
        <v>72</v>
      </c>
      <c r="E158" s="15">
        <f>IF(ISERROR(VLOOKUP(A158,SAP,11,FALSE)=1),0,(VLOOKUP(A158,SAP,11,FALSE)))</f>
        <v>0</v>
      </c>
      <c r="G158" s="17">
        <f>SUM(E157:E158)</f>
        <v>0</v>
      </c>
      <c r="I158" s="45" t="s">
        <v>289</v>
      </c>
      <c r="J158" s="46" t="s">
        <v>290</v>
      </c>
    </row>
    <row r="159" spans="1:208" s="3" customFormat="1" ht="25.5" customHeight="1" x14ac:dyDescent="0.2">
      <c r="A159" s="2"/>
      <c r="C159" s="2"/>
      <c r="D159" s="2"/>
      <c r="E159" s="15"/>
      <c r="F159" s="2"/>
      <c r="H159" s="2"/>
      <c r="I159" s="48"/>
      <c r="J159" s="49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2"/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  <c r="EG159" s="2"/>
      <c r="EH159" s="2"/>
      <c r="EI159" s="2"/>
      <c r="EJ159" s="2"/>
      <c r="EK159" s="2"/>
      <c r="EL159" s="2"/>
      <c r="EM159" s="2"/>
      <c r="EN159" s="2"/>
      <c r="EO159" s="2"/>
      <c r="EP159" s="2"/>
      <c r="EQ159" s="2"/>
      <c r="ER159" s="2"/>
      <c r="ES159" s="2"/>
      <c r="ET159" s="2"/>
      <c r="EU159" s="2"/>
      <c r="EV159" s="2"/>
      <c r="EW159" s="2"/>
      <c r="EX159" s="2"/>
      <c r="EY159" s="2"/>
      <c r="EZ159" s="2"/>
      <c r="FA159" s="2"/>
      <c r="FB159" s="2"/>
      <c r="FC159" s="2"/>
      <c r="FD159" s="2"/>
      <c r="FE159" s="2"/>
      <c r="FF159" s="2"/>
      <c r="FG159" s="2"/>
      <c r="FH159" s="2"/>
      <c r="FI159" s="2"/>
      <c r="FJ159" s="2"/>
      <c r="FK159" s="2"/>
      <c r="FL159" s="2"/>
      <c r="FM159" s="2"/>
      <c r="FN159" s="2"/>
      <c r="FO159" s="2"/>
      <c r="FP159" s="2"/>
      <c r="FQ159" s="2"/>
      <c r="FR159" s="2"/>
      <c r="FS159" s="2"/>
      <c r="FT159" s="2"/>
      <c r="FU159" s="2"/>
      <c r="FV159" s="2"/>
      <c r="FW159" s="2"/>
      <c r="FX159" s="2"/>
      <c r="FY159" s="2"/>
      <c r="FZ159" s="2"/>
      <c r="GA159" s="2"/>
      <c r="GB159" s="2"/>
      <c r="GC159" s="2"/>
      <c r="GD159" s="2"/>
      <c r="GE159" s="2"/>
      <c r="GF159" s="2"/>
      <c r="GG159" s="2"/>
      <c r="GH159" s="2"/>
      <c r="GI159" s="2"/>
      <c r="GJ159" s="2"/>
      <c r="GK159" s="2"/>
      <c r="GL159" s="2"/>
      <c r="GM159" s="2"/>
      <c r="GN159" s="2"/>
      <c r="GO159" s="2"/>
      <c r="GP159" s="2"/>
      <c r="GQ159" s="2"/>
      <c r="GR159" s="2"/>
      <c r="GS159" s="2"/>
      <c r="GT159" s="2"/>
      <c r="GU159" s="2"/>
      <c r="GV159" s="2"/>
      <c r="GW159" s="2"/>
      <c r="GX159" s="2"/>
      <c r="GY159" s="2"/>
      <c r="GZ159" s="2"/>
    </row>
    <row r="160" spans="1:208" s="3" customFormat="1" ht="25.5" customHeight="1" x14ac:dyDescent="0.2">
      <c r="A160" s="16" t="s">
        <v>291</v>
      </c>
      <c r="B160" s="3">
        <v>1000</v>
      </c>
      <c r="C160" s="3">
        <v>1301080041</v>
      </c>
      <c r="D160" s="2" t="s">
        <v>292</v>
      </c>
      <c r="E160" s="15">
        <f>IF(ISERROR(VLOOKUP(A160,SAP,11,FALSE)=1),0,(VLOOKUP(A160,SAP,11,FALSE)))</f>
        <v>19822.84</v>
      </c>
      <c r="F160" s="2"/>
      <c r="G160" s="16"/>
      <c r="H160" s="2"/>
      <c r="I160" s="48"/>
      <c r="J160" s="49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  <c r="ES160" s="2"/>
      <c r="ET160" s="2"/>
      <c r="EU160" s="2"/>
      <c r="EV160" s="2"/>
      <c r="EW160" s="2"/>
      <c r="EX160" s="2"/>
      <c r="EY160" s="2"/>
      <c r="EZ160" s="2"/>
      <c r="FA160" s="2"/>
      <c r="FB160" s="2"/>
      <c r="FC160" s="2"/>
      <c r="FD160" s="2"/>
      <c r="FE160" s="2"/>
      <c r="FF160" s="2"/>
      <c r="FG160" s="2"/>
      <c r="FH160" s="2"/>
      <c r="FI160" s="2"/>
      <c r="FJ160" s="2"/>
      <c r="FK160" s="2"/>
      <c r="FL160" s="2"/>
      <c r="FM160" s="2"/>
      <c r="FN160" s="2"/>
      <c r="FO160" s="2"/>
      <c r="FP160" s="2"/>
      <c r="FQ160" s="2"/>
      <c r="FR160" s="2"/>
      <c r="FS160" s="2"/>
      <c r="FT160" s="2"/>
      <c r="FU160" s="2"/>
      <c r="FV160" s="2"/>
      <c r="FW160" s="2"/>
      <c r="FX160" s="2"/>
      <c r="FY160" s="2"/>
      <c r="FZ160" s="2"/>
      <c r="GA160" s="2"/>
      <c r="GB160" s="2"/>
      <c r="GC160" s="2"/>
      <c r="GD160" s="2"/>
      <c r="GE160" s="2"/>
      <c r="GF160" s="2"/>
      <c r="GG160" s="2"/>
      <c r="GH160" s="2"/>
      <c r="GI160" s="2"/>
      <c r="GJ160" s="2"/>
      <c r="GK160" s="2"/>
      <c r="GL160" s="2"/>
      <c r="GM160" s="2"/>
      <c r="GN160" s="2"/>
      <c r="GO160" s="2"/>
      <c r="GP160" s="2"/>
      <c r="GQ160" s="2"/>
      <c r="GR160" s="2"/>
      <c r="GS160" s="2"/>
      <c r="GT160" s="2"/>
      <c r="GU160" s="2"/>
      <c r="GV160" s="2"/>
      <c r="GW160" s="2"/>
      <c r="GX160" s="2"/>
      <c r="GY160" s="2"/>
      <c r="GZ160" s="2"/>
    </row>
    <row r="161" spans="1:208" s="3" customFormat="1" ht="25.5" customHeight="1" x14ac:dyDescent="0.25">
      <c r="A161" s="16" t="s">
        <v>293</v>
      </c>
      <c r="B161" s="3">
        <v>2900</v>
      </c>
      <c r="C161" s="3">
        <v>2905010001</v>
      </c>
      <c r="D161" s="2" t="s">
        <v>16</v>
      </c>
      <c r="E161" s="15">
        <f>IF(ISERROR(VLOOKUP(A161,SAP,11,FALSE)=1),0,(VLOOKUP(A161,SAP,11,FALSE)))</f>
        <v>-19822.84</v>
      </c>
      <c r="F161" s="2"/>
      <c r="G161" s="17">
        <f>SUM(E160:E161)</f>
        <v>0</v>
      </c>
      <c r="H161" s="2"/>
      <c r="I161" s="45" t="s">
        <v>294</v>
      </c>
      <c r="J161" s="46" t="s">
        <v>295</v>
      </c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2"/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2"/>
      <c r="EE161" s="2"/>
      <c r="EF161" s="2"/>
      <c r="EG161" s="2"/>
      <c r="EH161" s="2"/>
      <c r="EI161" s="2"/>
      <c r="EJ161" s="2"/>
      <c r="EK161" s="2"/>
      <c r="EL161" s="2"/>
      <c r="EM161" s="2"/>
      <c r="EN161" s="2"/>
      <c r="EO161" s="2"/>
      <c r="EP161" s="2"/>
      <c r="EQ161" s="2"/>
      <c r="ER161" s="2"/>
      <c r="ES161" s="2"/>
      <c r="ET161" s="2"/>
      <c r="EU161" s="2"/>
      <c r="EV161" s="2"/>
      <c r="EW161" s="2"/>
      <c r="EX161" s="2"/>
      <c r="EY161" s="2"/>
      <c r="EZ161" s="2"/>
      <c r="FA161" s="2"/>
      <c r="FB161" s="2"/>
      <c r="FC161" s="2"/>
      <c r="FD161" s="2"/>
      <c r="FE161" s="2"/>
      <c r="FF161" s="2"/>
      <c r="FG161" s="2"/>
      <c r="FH161" s="2"/>
      <c r="FI161" s="2"/>
      <c r="FJ161" s="2"/>
      <c r="FK161" s="2"/>
      <c r="FL161" s="2"/>
      <c r="FM161" s="2"/>
      <c r="FN161" s="2"/>
      <c r="FO161" s="2"/>
      <c r="FP161" s="2"/>
      <c r="FQ161" s="2"/>
      <c r="FR161" s="2"/>
      <c r="FS161" s="2"/>
      <c r="FT161" s="2"/>
      <c r="FU161" s="2"/>
      <c r="FV161" s="2"/>
      <c r="FW161" s="2"/>
      <c r="FX161" s="2"/>
      <c r="FY161" s="2"/>
      <c r="FZ161" s="2"/>
      <c r="GA161" s="2"/>
      <c r="GB161" s="2"/>
      <c r="GC161" s="2"/>
      <c r="GD161" s="2"/>
      <c r="GE161" s="2"/>
      <c r="GF161" s="2"/>
      <c r="GG161" s="2"/>
      <c r="GH161" s="2"/>
      <c r="GI161" s="2"/>
      <c r="GJ161" s="2"/>
      <c r="GK161" s="2"/>
      <c r="GL161" s="2"/>
      <c r="GM161" s="2"/>
      <c r="GN161" s="2"/>
      <c r="GO161" s="2"/>
      <c r="GP161" s="2"/>
      <c r="GQ161" s="2"/>
      <c r="GR161" s="2"/>
      <c r="GS161" s="2"/>
      <c r="GT161" s="2"/>
      <c r="GU161" s="2"/>
      <c r="GV161" s="2"/>
      <c r="GW161" s="2"/>
      <c r="GX161" s="2"/>
      <c r="GY161" s="2"/>
      <c r="GZ161" s="2"/>
    </row>
    <row r="162" spans="1:208" s="3" customFormat="1" ht="25.5" customHeight="1" x14ac:dyDescent="0.2">
      <c r="A162" s="16" t="s">
        <v>296</v>
      </c>
      <c r="B162" s="3">
        <v>2900</v>
      </c>
      <c r="C162" s="3">
        <v>1301110001</v>
      </c>
      <c r="D162" s="2" t="s">
        <v>12</v>
      </c>
      <c r="E162" s="15">
        <f>IF(ISERROR(VLOOKUP(A162,SAP,11,FALSE)=1),0,(VLOOKUP(A162,SAP,11,FALSE)))</f>
        <v>31578.31</v>
      </c>
      <c r="F162" s="2"/>
      <c r="G162" s="16"/>
      <c r="H162" s="2"/>
      <c r="I162" s="48"/>
      <c r="J162" s="49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2"/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2"/>
      <c r="EE162" s="2"/>
      <c r="EF162" s="2"/>
      <c r="EG162" s="2"/>
      <c r="EH162" s="2"/>
      <c r="EI162" s="2"/>
      <c r="EJ162" s="2"/>
      <c r="EK162" s="2"/>
      <c r="EL162" s="2"/>
      <c r="EM162" s="2"/>
      <c r="EN162" s="2"/>
      <c r="EO162" s="2"/>
      <c r="EP162" s="2"/>
      <c r="EQ162" s="2"/>
      <c r="ER162" s="2"/>
      <c r="ES162" s="2"/>
      <c r="ET162" s="2"/>
      <c r="EU162" s="2"/>
      <c r="EV162" s="2"/>
      <c r="EW162" s="2"/>
      <c r="EX162" s="2"/>
      <c r="EY162" s="2"/>
      <c r="EZ162" s="2"/>
      <c r="FA162" s="2"/>
      <c r="FB162" s="2"/>
      <c r="FC162" s="2"/>
      <c r="FD162" s="2"/>
      <c r="FE162" s="2"/>
      <c r="FF162" s="2"/>
      <c r="FG162" s="2"/>
      <c r="FH162" s="2"/>
      <c r="FI162" s="2"/>
      <c r="FJ162" s="2"/>
      <c r="FK162" s="2"/>
      <c r="FL162" s="2"/>
      <c r="FM162" s="2"/>
      <c r="FN162" s="2"/>
      <c r="FO162" s="2"/>
      <c r="FP162" s="2"/>
      <c r="FQ162" s="2"/>
      <c r="FR162" s="2"/>
      <c r="FS162" s="2"/>
      <c r="FT162" s="2"/>
      <c r="FU162" s="2"/>
      <c r="FV162" s="2"/>
      <c r="FW162" s="2"/>
      <c r="FX162" s="2"/>
      <c r="FY162" s="2"/>
      <c r="FZ162" s="2"/>
      <c r="GA162" s="2"/>
      <c r="GB162" s="2"/>
      <c r="GC162" s="2"/>
      <c r="GD162" s="2"/>
      <c r="GE162" s="2"/>
      <c r="GF162" s="2"/>
      <c r="GG162" s="2"/>
      <c r="GH162" s="2"/>
      <c r="GI162" s="2"/>
      <c r="GJ162" s="2"/>
      <c r="GK162" s="2"/>
      <c r="GL162" s="2"/>
      <c r="GM162" s="2"/>
      <c r="GN162" s="2"/>
      <c r="GO162" s="2"/>
      <c r="GP162" s="2"/>
      <c r="GQ162" s="2"/>
      <c r="GR162" s="2"/>
      <c r="GS162" s="2"/>
      <c r="GT162" s="2"/>
      <c r="GU162" s="2"/>
      <c r="GV162" s="2"/>
      <c r="GW162" s="2"/>
      <c r="GX162" s="2"/>
      <c r="GY162" s="2"/>
      <c r="GZ162" s="2"/>
    </row>
    <row r="163" spans="1:208" ht="25.5" customHeight="1" x14ac:dyDescent="0.25">
      <c r="A163" s="16" t="s">
        <v>297</v>
      </c>
      <c r="B163" s="3">
        <v>1000</v>
      </c>
      <c r="C163" s="3">
        <v>2905028036</v>
      </c>
      <c r="D163" s="2" t="s">
        <v>298</v>
      </c>
      <c r="E163" s="15">
        <f>IF(ISERROR(VLOOKUP(A163,SAP,11,FALSE)=1),0,(VLOOKUP(A163,SAP,11,FALSE)))</f>
        <v>-31578.31</v>
      </c>
      <c r="G163" s="17">
        <f>SUM(E162:E163)</f>
        <v>0</v>
      </c>
      <c r="I163" s="45" t="s">
        <v>299</v>
      </c>
      <c r="J163" s="46" t="s">
        <v>300</v>
      </c>
    </row>
    <row r="164" spans="1:208" ht="25.5" customHeight="1" x14ac:dyDescent="0.2">
      <c r="E164" s="15"/>
      <c r="I164" s="43"/>
      <c r="J164" s="44"/>
    </row>
    <row r="165" spans="1:208" ht="25.5" customHeight="1" x14ac:dyDescent="0.2">
      <c r="E165" s="15"/>
      <c r="I165" s="43"/>
      <c r="J165" s="44"/>
    </row>
    <row r="166" spans="1:208" ht="25.5" customHeight="1" x14ac:dyDescent="0.2">
      <c r="A166" s="16" t="s">
        <v>301</v>
      </c>
      <c r="B166" s="3">
        <v>1000</v>
      </c>
      <c r="C166" s="3">
        <v>1301080037</v>
      </c>
      <c r="D166" s="2" t="s">
        <v>302</v>
      </c>
      <c r="E166" s="15">
        <f>IF(ISERROR(VLOOKUP(A166,SAP,11,FALSE)=1),0,(VLOOKUP(A166,SAP,11,FALSE)))</f>
        <v>0</v>
      </c>
      <c r="G166" s="16"/>
      <c r="I166" s="43"/>
      <c r="J166" s="44"/>
    </row>
    <row r="167" spans="1:208" ht="25.5" customHeight="1" x14ac:dyDescent="0.25">
      <c r="A167" s="16" t="s">
        <v>303</v>
      </c>
      <c r="B167" s="3">
        <v>1825</v>
      </c>
      <c r="C167" s="3">
        <v>2905010001</v>
      </c>
      <c r="D167" s="2" t="s">
        <v>16</v>
      </c>
      <c r="E167" s="15">
        <f>IF(ISERROR(VLOOKUP(A167,SAP,11,FALSE)=1),0,(VLOOKUP(A167,SAP,11,FALSE)))</f>
        <v>0</v>
      </c>
      <c r="G167" s="17">
        <f>SUM(E166:E167)</f>
        <v>0</v>
      </c>
      <c r="I167" s="45" t="s">
        <v>304</v>
      </c>
      <c r="J167" s="46" t="s">
        <v>305</v>
      </c>
    </row>
    <row r="168" spans="1:208" ht="25.5" customHeight="1" x14ac:dyDescent="0.2">
      <c r="A168" s="16" t="s">
        <v>306</v>
      </c>
      <c r="B168" s="3">
        <v>1825</v>
      </c>
      <c r="C168" s="3">
        <v>1301110001</v>
      </c>
      <c r="D168" s="2" t="s">
        <v>12</v>
      </c>
      <c r="E168" s="15">
        <f>IF(ISERROR(VLOOKUP(A168,SAP,11,FALSE)=1),0,(VLOOKUP(A168,SAP,11,FALSE)))</f>
        <v>0</v>
      </c>
      <c r="G168" s="16"/>
      <c r="I168" s="43"/>
      <c r="J168" s="44"/>
    </row>
    <row r="169" spans="1:208" ht="25.5" customHeight="1" x14ac:dyDescent="0.25">
      <c r="A169" s="16" t="s">
        <v>307</v>
      </c>
      <c r="B169" s="3">
        <v>1000</v>
      </c>
      <c r="C169" s="3">
        <v>2905028032</v>
      </c>
      <c r="D169" s="2" t="s">
        <v>308</v>
      </c>
      <c r="E169" s="15">
        <f>IF(ISERROR(VLOOKUP(A169,SAP,11,FALSE)=1),0,(VLOOKUP(A169,SAP,11,FALSE)))</f>
        <v>0</v>
      </c>
      <c r="G169" s="17">
        <f>SUM(E168:E169)</f>
        <v>0</v>
      </c>
      <c r="I169" s="45" t="s">
        <v>309</v>
      </c>
      <c r="J169" s="46" t="s">
        <v>310</v>
      </c>
    </row>
    <row r="170" spans="1:208" ht="25.5" customHeight="1" x14ac:dyDescent="0.2">
      <c r="E170" s="15"/>
      <c r="I170" s="43"/>
      <c r="J170" s="44"/>
    </row>
    <row r="171" spans="1:208" ht="25.5" customHeight="1" x14ac:dyDescent="0.2">
      <c r="A171" s="16" t="s">
        <v>311</v>
      </c>
      <c r="B171" s="3">
        <v>1000</v>
      </c>
      <c r="C171" s="3">
        <v>1301080040</v>
      </c>
      <c r="D171" s="2" t="s">
        <v>312</v>
      </c>
      <c r="E171" s="15">
        <f>IF(ISERROR(VLOOKUP(A171,SAP,11,FALSE)=1),0,(VLOOKUP(A171,SAP,11,FALSE)))</f>
        <v>112811</v>
      </c>
      <c r="G171" s="16"/>
      <c r="I171" s="43"/>
      <c r="J171" s="44"/>
    </row>
    <row r="172" spans="1:208" ht="25.5" customHeight="1" x14ac:dyDescent="0.25">
      <c r="A172" s="16" t="s">
        <v>313</v>
      </c>
      <c r="B172" s="3">
        <v>2560</v>
      </c>
      <c r="C172" s="3">
        <v>2905010001</v>
      </c>
      <c r="D172" s="2" t="s">
        <v>16</v>
      </c>
      <c r="E172" s="15">
        <f>IF(ISERROR(VLOOKUP(A172,SAP,11,FALSE)=1),0,(VLOOKUP(A172,SAP,11,FALSE)))</f>
        <v>-112811</v>
      </c>
      <c r="G172" s="17">
        <f>SUM(E171:E172)</f>
        <v>0</v>
      </c>
      <c r="I172" s="45" t="s">
        <v>314</v>
      </c>
      <c r="J172" s="46" t="s">
        <v>315</v>
      </c>
    </row>
    <row r="173" spans="1:208" ht="25.5" customHeight="1" x14ac:dyDescent="0.2">
      <c r="A173" s="16" t="s">
        <v>316</v>
      </c>
      <c r="B173" s="3">
        <v>2560</v>
      </c>
      <c r="C173" s="3">
        <v>1301110001</v>
      </c>
      <c r="D173" s="2" t="s">
        <v>12</v>
      </c>
      <c r="E173" s="15">
        <f>IF(ISERROR(VLOOKUP(A173,SAP,11,FALSE)=1),0,(VLOOKUP(A173,SAP,11,FALSE)))</f>
        <v>0</v>
      </c>
      <c r="G173" s="16"/>
      <c r="I173" s="43"/>
      <c r="J173" s="44"/>
    </row>
    <row r="174" spans="1:208" ht="25.5" customHeight="1" x14ac:dyDescent="0.25">
      <c r="A174" s="16" t="s">
        <v>317</v>
      </c>
      <c r="B174" s="3">
        <v>1000</v>
      </c>
      <c r="C174" s="3">
        <v>2905028035</v>
      </c>
      <c r="D174" s="2" t="s">
        <v>318</v>
      </c>
      <c r="E174" s="15">
        <f>IF(ISERROR(VLOOKUP(A174,SAP,11,FALSE)=1),0,(VLOOKUP(A174,SAP,11,FALSE)))</f>
        <v>0</v>
      </c>
      <c r="G174" s="17">
        <f>SUM(E173:E174)</f>
        <v>0</v>
      </c>
      <c r="I174" s="45" t="s">
        <v>319</v>
      </c>
      <c r="J174" s="46" t="s">
        <v>320</v>
      </c>
    </row>
    <row r="175" spans="1:208" ht="25.5" customHeight="1" x14ac:dyDescent="0.2">
      <c r="E175" s="15"/>
      <c r="I175" s="43"/>
      <c r="J175" s="44"/>
    </row>
    <row r="176" spans="1:208" ht="25.5" customHeight="1" x14ac:dyDescent="0.2">
      <c r="A176" s="16" t="s">
        <v>321</v>
      </c>
      <c r="B176" s="3">
        <v>2400</v>
      </c>
      <c r="C176" s="3">
        <v>1301080040</v>
      </c>
      <c r="D176" s="2" t="s">
        <v>312</v>
      </c>
      <c r="E176" s="15">
        <f>IF(ISERROR(VLOOKUP(A176,SAP,11,FALSE)=1),0,(VLOOKUP(A176,SAP,11,FALSE)))</f>
        <v>2927508.61</v>
      </c>
      <c r="G176" s="16"/>
      <c r="I176" s="43"/>
      <c r="J176" s="44"/>
    </row>
    <row r="177" spans="1:10" ht="25.5" customHeight="1" x14ac:dyDescent="0.25">
      <c r="A177" s="16" t="s">
        <v>322</v>
      </c>
      <c r="B177" s="3">
        <v>2560</v>
      </c>
      <c r="C177" s="3">
        <v>2905028014</v>
      </c>
      <c r="D177" s="2" t="s">
        <v>62</v>
      </c>
      <c r="E177" s="15">
        <f>IF(ISERROR(VLOOKUP(A177,SAP,11,FALSE)=1),0,(VLOOKUP(A177,SAP,11,FALSE)))</f>
        <v>-2927508.61</v>
      </c>
      <c r="G177" s="17">
        <f>SUM(E176:E177)</f>
        <v>0</v>
      </c>
      <c r="I177" s="45" t="s">
        <v>323</v>
      </c>
      <c r="J177" s="46" t="s">
        <v>324</v>
      </c>
    </row>
    <row r="178" spans="1:10" ht="25.5" customHeight="1" x14ac:dyDescent="0.2">
      <c r="A178" s="16" t="s">
        <v>325</v>
      </c>
      <c r="B178" s="3">
        <v>2560</v>
      </c>
      <c r="C178" s="3">
        <v>1301080020</v>
      </c>
      <c r="D178" s="2" t="s">
        <v>259</v>
      </c>
      <c r="E178" s="15">
        <f>IF(ISERROR(VLOOKUP(A178,SAP,11,FALSE)=1),0,(VLOOKUP(A178,SAP,11,FALSE)))</f>
        <v>0</v>
      </c>
      <c r="G178" s="16"/>
      <c r="I178" s="43"/>
      <c r="J178" s="44"/>
    </row>
    <row r="179" spans="1:10" ht="25.5" customHeight="1" x14ac:dyDescent="0.25">
      <c r="A179" s="16" t="s">
        <v>326</v>
      </c>
      <c r="B179" s="3">
        <v>2400</v>
      </c>
      <c r="C179" s="3">
        <v>2905028035</v>
      </c>
      <c r="D179" s="2" t="s">
        <v>318</v>
      </c>
      <c r="E179" s="15">
        <f>IF(ISERROR(VLOOKUP(A179,SAP,11,FALSE)=1),0,(VLOOKUP(A179,SAP,11,FALSE)))</f>
        <v>0</v>
      </c>
      <c r="G179" s="17">
        <f>SUM(E178:E179)</f>
        <v>0</v>
      </c>
      <c r="I179" s="45" t="s">
        <v>327</v>
      </c>
      <c r="J179" s="46" t="s">
        <v>328</v>
      </c>
    </row>
    <row r="180" spans="1:10" ht="25.5" customHeight="1" x14ac:dyDescent="0.2">
      <c r="E180" s="15"/>
      <c r="I180" s="43"/>
      <c r="J180" s="44"/>
    </row>
    <row r="181" spans="1:10" ht="25.5" customHeight="1" x14ac:dyDescent="0.2">
      <c r="A181" s="16" t="s">
        <v>329</v>
      </c>
      <c r="B181" s="3">
        <v>2400</v>
      </c>
      <c r="C181" s="3">
        <v>1301080026</v>
      </c>
      <c r="D181" s="2" t="s">
        <v>330</v>
      </c>
      <c r="E181" s="15">
        <f>IF(ISERROR(VLOOKUP(A181,SAP,11,FALSE)=1),0,(VLOOKUP(A181,SAP,11,FALSE)))</f>
        <v>0</v>
      </c>
      <c r="G181" s="16"/>
      <c r="I181" s="43"/>
      <c r="J181" s="44"/>
    </row>
    <row r="182" spans="1:10" ht="25.5" customHeight="1" x14ac:dyDescent="0.25">
      <c r="A182" s="16" t="s">
        <v>331</v>
      </c>
      <c r="B182" s="3">
        <v>1830</v>
      </c>
      <c r="C182" s="3">
        <v>2905028014</v>
      </c>
      <c r="D182" s="2" t="s">
        <v>62</v>
      </c>
      <c r="E182" s="15">
        <f>IF(ISERROR(VLOOKUP(A182,SAP,11,FALSE)=1),0,(VLOOKUP(A182,SAP,11,FALSE)))</f>
        <v>0</v>
      </c>
      <c r="G182" s="17">
        <f>SUM(E181:E182)</f>
        <v>0</v>
      </c>
      <c r="I182" s="45" t="s">
        <v>332</v>
      </c>
      <c r="J182" s="46" t="s">
        <v>333</v>
      </c>
    </row>
    <row r="183" spans="1:10" ht="25.5" customHeight="1" x14ac:dyDescent="0.2">
      <c r="A183" s="16" t="s">
        <v>334</v>
      </c>
      <c r="B183" s="3">
        <v>1830</v>
      </c>
      <c r="C183" s="3">
        <v>1301080020</v>
      </c>
      <c r="D183" s="2" t="s">
        <v>259</v>
      </c>
      <c r="E183" s="15">
        <f>IF(ISERROR(VLOOKUP(A183,SAP,11,FALSE)=1),0,(VLOOKUP(A183,SAP,11,FALSE)))</f>
        <v>0</v>
      </c>
      <c r="G183" s="16"/>
      <c r="I183" s="43"/>
      <c r="J183" s="44"/>
    </row>
    <row r="184" spans="1:10" ht="25.5" customHeight="1" x14ac:dyDescent="0.25">
      <c r="A184" s="16" t="s">
        <v>335</v>
      </c>
      <c r="B184" s="3">
        <v>2400</v>
      </c>
      <c r="C184" s="3">
        <v>2905028021</v>
      </c>
      <c r="D184" s="2" t="s">
        <v>336</v>
      </c>
      <c r="E184" s="15">
        <f>IF(ISERROR(VLOOKUP(A184,SAP,11,FALSE)=1),0,(VLOOKUP(A184,SAP,11,FALSE)))</f>
        <v>0</v>
      </c>
      <c r="G184" s="17">
        <f>SUM(E183:E184)</f>
        <v>0</v>
      </c>
      <c r="I184" s="45" t="s">
        <v>337</v>
      </c>
      <c r="J184" s="46" t="s">
        <v>338</v>
      </c>
    </row>
    <row r="185" spans="1:10" ht="25.5" customHeight="1" x14ac:dyDescent="0.2">
      <c r="E185" s="15"/>
      <c r="I185" s="43"/>
      <c r="J185" s="44"/>
    </row>
    <row r="186" spans="1:10" ht="25.5" customHeight="1" x14ac:dyDescent="0.2">
      <c r="A186" s="16" t="s">
        <v>339</v>
      </c>
      <c r="B186" s="3">
        <v>2400</v>
      </c>
      <c r="C186" s="3">
        <v>1301080029</v>
      </c>
      <c r="D186" s="2" t="s">
        <v>340</v>
      </c>
      <c r="E186" s="15">
        <f>IF(ISERROR(VLOOKUP(A186,SAP,11,FALSE)=1),0,(VLOOKUP(A186,SAP,11,FALSE)))</f>
        <v>63155.9</v>
      </c>
      <c r="G186" s="16"/>
      <c r="I186" s="43"/>
      <c r="J186" s="44"/>
    </row>
    <row r="187" spans="1:10" ht="25.5" customHeight="1" x14ac:dyDescent="0.25">
      <c r="A187" s="16" t="s">
        <v>341</v>
      </c>
      <c r="B187" s="3">
        <v>1840</v>
      </c>
      <c r="C187" s="3">
        <v>2905028014</v>
      </c>
      <c r="D187" s="2" t="s">
        <v>62</v>
      </c>
      <c r="E187" s="15">
        <f>IF(ISERROR(VLOOKUP(A187,SAP,11,FALSE)=1),0,(VLOOKUP(A187,SAP,11,FALSE)))</f>
        <v>-63155.9</v>
      </c>
      <c r="G187" s="17">
        <f>SUM(E186:E187)</f>
        <v>0</v>
      </c>
      <c r="I187" s="45" t="s">
        <v>342</v>
      </c>
      <c r="J187" s="46" t="s">
        <v>343</v>
      </c>
    </row>
    <row r="188" spans="1:10" ht="25.5" customHeight="1" x14ac:dyDescent="0.2">
      <c r="A188" s="16" t="s">
        <v>344</v>
      </c>
      <c r="B188" s="3">
        <v>1840</v>
      </c>
      <c r="C188" s="3">
        <v>1301080020</v>
      </c>
      <c r="D188" s="2" t="s">
        <v>259</v>
      </c>
      <c r="E188" s="15">
        <f>IF(ISERROR(VLOOKUP(A188,SAP,11,FALSE)=1),0,(VLOOKUP(A188,SAP,11,FALSE)))</f>
        <v>9.44</v>
      </c>
      <c r="G188" s="16"/>
      <c r="I188" s="43"/>
      <c r="J188" s="44"/>
    </row>
    <row r="189" spans="1:10" ht="25.5" customHeight="1" x14ac:dyDescent="0.25">
      <c r="A189" s="16" t="s">
        <v>345</v>
      </c>
      <c r="B189" s="3">
        <v>2400</v>
      </c>
      <c r="C189" s="3">
        <v>2905028024</v>
      </c>
      <c r="D189" s="2" t="s">
        <v>346</v>
      </c>
      <c r="E189" s="15">
        <f>IF(ISERROR(VLOOKUP(A189,SAP,11,FALSE)=1),0,(VLOOKUP(A189,SAP,11,FALSE)))</f>
        <v>-9.44</v>
      </c>
      <c r="G189" s="17">
        <f>SUM(E188:E189)</f>
        <v>0</v>
      </c>
      <c r="I189" s="45" t="s">
        <v>347</v>
      </c>
      <c r="J189" s="46" t="s">
        <v>348</v>
      </c>
    </row>
    <row r="190" spans="1:10" ht="25.5" customHeight="1" x14ac:dyDescent="0.2">
      <c r="E190" s="15"/>
      <c r="I190" s="43"/>
      <c r="J190" s="44"/>
    </row>
    <row r="191" spans="1:10" ht="25.5" customHeight="1" x14ac:dyDescent="0.2">
      <c r="A191" s="16" t="s">
        <v>349</v>
      </c>
      <c r="B191" s="3">
        <v>1200</v>
      </c>
      <c r="C191" s="3">
        <v>2905028036</v>
      </c>
      <c r="D191" s="2" t="s">
        <v>298</v>
      </c>
      <c r="E191" s="15">
        <f>IF(ISERROR(VLOOKUP(A191,SAP,11,FALSE)=1),0,(VLOOKUP(A191,SAP,11,FALSE)))</f>
        <v>0</v>
      </c>
      <c r="G191" s="16"/>
      <c r="I191" s="43"/>
      <c r="J191" s="44"/>
    </row>
    <row r="192" spans="1:10" ht="25.5" customHeight="1" x14ac:dyDescent="0.25">
      <c r="A192" s="16" t="s">
        <v>350</v>
      </c>
      <c r="B192" s="3">
        <v>2900</v>
      </c>
      <c r="C192" s="3">
        <v>1301080022</v>
      </c>
      <c r="D192" s="2" t="s">
        <v>28</v>
      </c>
      <c r="E192" s="15">
        <f>IF(ISERROR(VLOOKUP(A192,SAP,11,FALSE)=1),0,(VLOOKUP(A192,SAP,11,FALSE)))</f>
        <v>0</v>
      </c>
      <c r="G192" s="17">
        <f>SUM(E191:E192)</f>
        <v>0</v>
      </c>
      <c r="I192" s="45" t="s">
        <v>351</v>
      </c>
      <c r="J192" s="46" t="s">
        <v>352</v>
      </c>
    </row>
    <row r="193" spans="1:10" ht="25.5" customHeight="1" x14ac:dyDescent="0.2">
      <c r="A193" s="16" t="s">
        <v>353</v>
      </c>
      <c r="B193" s="3">
        <v>2900</v>
      </c>
      <c r="C193" s="3">
        <v>2905028016</v>
      </c>
      <c r="D193" s="2" t="s">
        <v>22</v>
      </c>
      <c r="E193" s="15">
        <f>IF(ISERROR(VLOOKUP(A193,SAP,11,FALSE)=1),0,(VLOOKUP(A193,SAP,11,FALSE)))</f>
        <v>-10026.69</v>
      </c>
      <c r="G193" s="16"/>
      <c r="I193" s="43"/>
      <c r="J193" s="44"/>
    </row>
    <row r="194" spans="1:10" ht="25.5" customHeight="1" x14ac:dyDescent="0.25">
      <c r="A194" s="16" t="s">
        <v>354</v>
      </c>
      <c r="B194" s="3">
        <v>1200</v>
      </c>
      <c r="C194" s="3">
        <v>1301080041</v>
      </c>
      <c r="D194" s="2" t="s">
        <v>292</v>
      </c>
      <c r="E194" s="15">
        <f>IF(ISERROR(VLOOKUP(A194,SAP,11,FALSE)=1),0,(VLOOKUP(A194,SAP,11,FALSE)))</f>
        <v>10026.69</v>
      </c>
      <c r="G194" s="17">
        <f>SUM(E193:E194)</f>
        <v>0</v>
      </c>
      <c r="I194" s="45" t="s">
        <v>355</v>
      </c>
      <c r="J194" s="46" t="s">
        <v>356</v>
      </c>
    </row>
    <row r="195" spans="1:10" ht="25.5" customHeight="1" x14ac:dyDescent="0.2">
      <c r="E195" s="15"/>
      <c r="I195" s="43"/>
      <c r="J195" s="44"/>
    </row>
    <row r="196" spans="1:10" ht="25.5" customHeight="1" x14ac:dyDescent="0.2">
      <c r="A196" s="16" t="s">
        <v>357</v>
      </c>
      <c r="B196" s="3">
        <v>1200</v>
      </c>
      <c r="C196" s="3">
        <v>2905028015</v>
      </c>
      <c r="D196" s="2" t="s">
        <v>358</v>
      </c>
      <c r="E196" s="15">
        <f>IF(ISERROR(VLOOKUP(A196,SAP,11,FALSE)=1),0,(VLOOKUP(A196,SAP,11,FALSE)))</f>
        <v>0</v>
      </c>
      <c r="G196" s="16"/>
      <c r="I196" s="43"/>
      <c r="J196" s="44"/>
    </row>
    <row r="197" spans="1:10" ht="25.5" customHeight="1" x14ac:dyDescent="0.25">
      <c r="A197" s="16" t="s">
        <v>359</v>
      </c>
      <c r="B197" s="3">
        <v>2600</v>
      </c>
      <c r="C197" s="3">
        <v>1301080022</v>
      </c>
      <c r="D197" s="2" t="s">
        <v>28</v>
      </c>
      <c r="E197" s="15">
        <f>IF(ISERROR(VLOOKUP(A197,SAP,11,FALSE)=1),0,(VLOOKUP(A197,SAP,11,FALSE)))</f>
        <v>0</v>
      </c>
      <c r="G197" s="17">
        <f>SUM(E196:E197)</f>
        <v>0</v>
      </c>
      <c r="I197" s="45" t="s">
        <v>360</v>
      </c>
      <c r="J197" s="46" t="s">
        <v>361</v>
      </c>
    </row>
    <row r="198" spans="1:10" ht="25.5" customHeight="1" x14ac:dyDescent="0.2">
      <c r="A198" s="16" t="s">
        <v>362</v>
      </c>
      <c r="B198" s="3">
        <v>2600</v>
      </c>
      <c r="C198" s="3">
        <v>2905028016</v>
      </c>
      <c r="D198" s="2" t="s">
        <v>22</v>
      </c>
      <c r="E198" s="15">
        <f>IF(ISERROR(VLOOKUP(A198,SAP,11,FALSE)=1),0,(VLOOKUP(A198,SAP,11,FALSE)))</f>
        <v>0</v>
      </c>
      <c r="G198" s="16"/>
      <c r="I198" s="43"/>
      <c r="J198" s="44"/>
    </row>
    <row r="199" spans="1:10" ht="25.5" customHeight="1" x14ac:dyDescent="0.25">
      <c r="A199" s="16" t="s">
        <v>363</v>
      </c>
      <c r="B199" s="3">
        <v>1200</v>
      </c>
      <c r="C199" s="3">
        <v>1301080021</v>
      </c>
      <c r="D199" s="2" t="s">
        <v>364</v>
      </c>
      <c r="E199" s="15">
        <f>IF(ISERROR(VLOOKUP(A199,SAP,11,FALSE)=1),0,(VLOOKUP(A199,SAP,11,FALSE)))</f>
        <v>0</v>
      </c>
      <c r="G199" s="17">
        <f>SUM(E198:E199)</f>
        <v>0</v>
      </c>
      <c r="I199" s="45" t="s">
        <v>365</v>
      </c>
      <c r="J199" s="46" t="s">
        <v>366</v>
      </c>
    </row>
    <row r="200" spans="1:10" ht="25.5" customHeight="1" x14ac:dyDescent="0.2">
      <c r="A200" s="16"/>
      <c r="C200" s="3"/>
      <c r="E200" s="15"/>
      <c r="G200" s="19"/>
      <c r="I200" s="43"/>
      <c r="J200" s="44"/>
    </row>
    <row r="201" spans="1:10" ht="25.5" customHeight="1" x14ac:dyDescent="0.2">
      <c r="A201" s="16" t="s">
        <v>367</v>
      </c>
      <c r="B201" s="3">
        <v>2200</v>
      </c>
      <c r="C201" s="3">
        <v>2905028028</v>
      </c>
      <c r="D201" s="2" t="s">
        <v>216</v>
      </c>
      <c r="E201" s="15">
        <f>IF(ISERROR(VLOOKUP(A201,SAP,11,FALSE)=1),0,(VLOOKUP(A201,SAP,11,FALSE)))</f>
        <v>0</v>
      </c>
      <c r="G201" s="16"/>
      <c r="I201" s="43"/>
      <c r="J201" s="44"/>
    </row>
    <row r="202" spans="1:10" ht="25.5" customHeight="1" x14ac:dyDescent="0.25">
      <c r="A202" s="16" t="s">
        <v>368</v>
      </c>
      <c r="B202" s="3">
        <v>2810</v>
      </c>
      <c r="C202" s="3">
        <v>1301080003</v>
      </c>
      <c r="D202" t="s">
        <v>60</v>
      </c>
      <c r="E202" s="15">
        <f>IF(ISERROR(VLOOKUP(A202,SAP,11,FALSE)=1),0,(VLOOKUP(A202,SAP,11,FALSE)))</f>
        <v>0</v>
      </c>
      <c r="G202" s="17">
        <f>SUM(E201:E202)</f>
        <v>0</v>
      </c>
      <c r="I202" s="45" t="s">
        <v>369</v>
      </c>
      <c r="J202" s="46" t="s">
        <v>370</v>
      </c>
    </row>
    <row r="203" spans="1:10" ht="25.5" customHeight="1" x14ac:dyDescent="0.25">
      <c r="A203" s="16" t="s">
        <v>371</v>
      </c>
      <c r="B203" s="3">
        <v>2810</v>
      </c>
      <c r="C203" s="3">
        <v>2905022005</v>
      </c>
      <c r="D203" t="s">
        <v>52</v>
      </c>
      <c r="E203" s="15">
        <f>IF(ISERROR(VLOOKUP(A203,SAP,11,FALSE)=1),0,(VLOOKUP(A203,SAP,11,FALSE)))</f>
        <v>0</v>
      </c>
      <c r="G203" s="16"/>
      <c r="I203" s="43"/>
      <c r="J203" s="44"/>
    </row>
    <row r="204" spans="1:10" ht="25.5" customHeight="1" x14ac:dyDescent="0.25">
      <c r="A204" s="16" t="s">
        <v>372</v>
      </c>
      <c r="B204" s="3">
        <v>2200</v>
      </c>
      <c r="C204" s="3">
        <v>1301080033</v>
      </c>
      <c r="D204" s="2" t="s">
        <v>222</v>
      </c>
      <c r="E204" s="15">
        <f>IF(ISERROR(VLOOKUP(A204,SAP,11,FALSE)=1),0,(VLOOKUP(A204,SAP,11,FALSE)))</f>
        <v>0</v>
      </c>
      <c r="G204" s="17">
        <f>SUM(E203:E204)</f>
        <v>0</v>
      </c>
      <c r="I204" s="45" t="s">
        <v>373</v>
      </c>
      <c r="J204" s="46" t="s">
        <v>374</v>
      </c>
    </row>
    <row r="205" spans="1:10" ht="25.5" customHeight="1" x14ac:dyDescent="0.2">
      <c r="A205" s="16"/>
      <c r="C205" s="3"/>
      <c r="E205" s="15"/>
      <c r="G205" s="19"/>
      <c r="I205" s="43"/>
      <c r="J205" s="44"/>
    </row>
    <row r="206" spans="1:10" ht="25.5" customHeight="1" x14ac:dyDescent="0.2">
      <c r="A206" s="16" t="s">
        <v>375</v>
      </c>
      <c r="B206" s="3">
        <v>2600</v>
      </c>
      <c r="C206" s="3">
        <v>2905028028</v>
      </c>
      <c r="D206" s="2" t="s">
        <v>216</v>
      </c>
      <c r="E206" s="15">
        <f>IF(ISERROR(VLOOKUP(A206,SAP,11,FALSE)=1),0,(VLOOKUP(A206,SAP,11,FALSE)))</f>
        <v>0</v>
      </c>
      <c r="G206" s="16"/>
      <c r="I206" s="43"/>
      <c r="J206" s="44"/>
    </row>
    <row r="207" spans="1:10" ht="25.5" customHeight="1" x14ac:dyDescent="0.25">
      <c r="A207" s="16" t="s">
        <v>376</v>
      </c>
      <c r="B207" s="3">
        <v>2810</v>
      </c>
      <c r="C207" s="3">
        <v>1301080021</v>
      </c>
      <c r="D207" t="s">
        <v>88</v>
      </c>
      <c r="E207" s="15">
        <f>IF(ISERROR(VLOOKUP(A207,SAP,11,FALSE)=1),0,(VLOOKUP(A207,SAP,11,FALSE)))</f>
        <v>0</v>
      </c>
      <c r="G207" s="17">
        <f>SUM(E206:E207)</f>
        <v>0</v>
      </c>
      <c r="I207" s="45" t="s">
        <v>377</v>
      </c>
      <c r="J207" s="46" t="s">
        <v>378</v>
      </c>
    </row>
    <row r="208" spans="1:10" ht="25.5" customHeight="1" x14ac:dyDescent="0.25">
      <c r="A208" s="16" t="s">
        <v>379</v>
      </c>
      <c r="B208" s="3">
        <v>2810</v>
      </c>
      <c r="C208" s="3">
        <v>2905028015</v>
      </c>
      <c r="D208" t="s">
        <v>82</v>
      </c>
      <c r="E208" s="15">
        <f>IF(ISERROR(VLOOKUP(A208,SAP,11,FALSE)=1),0,(VLOOKUP(A208,SAP,11,FALSE)))</f>
        <v>0</v>
      </c>
      <c r="G208" s="16"/>
      <c r="I208" s="43"/>
      <c r="J208" s="44"/>
    </row>
    <row r="209" spans="1:10" ht="25.5" customHeight="1" x14ac:dyDescent="0.25">
      <c r="A209" s="16" t="s">
        <v>380</v>
      </c>
      <c r="B209" s="3">
        <v>2600</v>
      </c>
      <c r="C209" s="3">
        <v>1301080033</v>
      </c>
      <c r="D209" s="2" t="s">
        <v>222</v>
      </c>
      <c r="E209" s="15">
        <f>IF(ISERROR(VLOOKUP(A209,SAP,11,FALSE)=1),0,(VLOOKUP(A209,SAP,11,FALSE)))</f>
        <v>0</v>
      </c>
      <c r="G209" s="17">
        <f>SUM(E208:E209)</f>
        <v>0</v>
      </c>
      <c r="I209" s="45" t="s">
        <v>381</v>
      </c>
      <c r="J209" s="46" t="s">
        <v>382</v>
      </c>
    </row>
    <row r="210" spans="1:10" ht="25.5" customHeight="1" x14ac:dyDescent="0.2">
      <c r="A210" s="16"/>
      <c r="C210" s="3"/>
      <c r="E210" s="15"/>
      <c r="G210" s="19"/>
      <c r="I210" s="43"/>
      <c r="J210" s="44"/>
    </row>
    <row r="211" spans="1:10" ht="25.5" customHeight="1" x14ac:dyDescent="0.2">
      <c r="A211" s="16" t="s">
        <v>383</v>
      </c>
      <c r="B211" s="3">
        <v>2400</v>
      </c>
      <c r="C211" s="3">
        <v>1301080037</v>
      </c>
      <c r="D211" s="2" t="s">
        <v>302</v>
      </c>
      <c r="E211" s="15">
        <f>IF(ISERROR(VLOOKUP(A211,SAP,11,FALSE)=1),0,(VLOOKUP(A211,SAP,11,FALSE)))</f>
        <v>0</v>
      </c>
      <c r="G211" s="16"/>
      <c r="I211" s="43"/>
      <c r="J211" s="44"/>
    </row>
    <row r="212" spans="1:10" ht="25.5" customHeight="1" x14ac:dyDescent="0.25">
      <c r="A212" s="16" t="s">
        <v>384</v>
      </c>
      <c r="B212" s="3">
        <v>1825</v>
      </c>
      <c r="C212" s="3">
        <v>2905028014</v>
      </c>
      <c r="D212" s="2" t="s">
        <v>62</v>
      </c>
      <c r="E212" s="15">
        <f>IF(ISERROR(VLOOKUP(A212,SAP,11,FALSE)=1),0,(VLOOKUP(A212,SAP,11,FALSE)))</f>
        <v>0</v>
      </c>
      <c r="G212" s="17">
        <f>SUM(E211:E212)</f>
        <v>0</v>
      </c>
      <c r="I212" s="45" t="s">
        <v>385</v>
      </c>
      <c r="J212" s="46" t="s">
        <v>386</v>
      </c>
    </row>
    <row r="213" spans="1:10" ht="25.5" customHeight="1" x14ac:dyDescent="0.2">
      <c r="A213" s="16" t="s">
        <v>387</v>
      </c>
      <c r="B213" s="3">
        <v>1825</v>
      </c>
      <c r="C213" s="3">
        <v>1301080020</v>
      </c>
      <c r="D213" s="2" t="s">
        <v>259</v>
      </c>
      <c r="E213" s="15">
        <f>IF(ISERROR(VLOOKUP(A213,SAP,11,FALSE)=1),0,(VLOOKUP(A213,SAP,11,FALSE)))</f>
        <v>0</v>
      </c>
      <c r="G213" s="16"/>
      <c r="I213" s="43"/>
      <c r="J213" s="44"/>
    </row>
    <row r="214" spans="1:10" ht="25.5" customHeight="1" x14ac:dyDescent="0.25">
      <c r="A214" s="16" t="s">
        <v>388</v>
      </c>
      <c r="B214" s="3">
        <v>2400</v>
      </c>
      <c r="C214" s="3">
        <v>2905028032</v>
      </c>
      <c r="D214" s="2" t="s">
        <v>308</v>
      </c>
      <c r="E214" s="15">
        <f>IF(ISERROR(VLOOKUP(A214,SAP,11,FALSE)=1),0,(VLOOKUP(A214,SAP,11,FALSE)))</f>
        <v>0</v>
      </c>
      <c r="G214" s="17">
        <f>SUM(E213:E214)</f>
        <v>0</v>
      </c>
      <c r="I214" s="45" t="s">
        <v>389</v>
      </c>
      <c r="J214" s="46" t="s">
        <v>390</v>
      </c>
    </row>
    <row r="215" spans="1:10" ht="25.5" customHeight="1" x14ac:dyDescent="0.2">
      <c r="A215" s="16"/>
      <c r="C215" s="3"/>
      <c r="E215" s="15"/>
      <c r="G215" s="19"/>
      <c r="I215" s="43"/>
      <c r="J215" s="44"/>
    </row>
    <row r="216" spans="1:10" ht="30" customHeight="1" x14ac:dyDescent="0.25">
      <c r="A216" s="14" t="s">
        <v>391</v>
      </c>
      <c r="B216" s="3">
        <v>2500</v>
      </c>
      <c r="C216" s="3">
        <v>1301080021</v>
      </c>
      <c r="D216" t="s">
        <v>88</v>
      </c>
      <c r="E216" s="15">
        <f>IF(ISERROR(VLOOKUP(A216,SAP,11,FALSE)=1),0,(VLOOKUP(A216,SAP,11,FALSE)))</f>
        <v>529192.75</v>
      </c>
      <c r="G216" s="16"/>
      <c r="I216" s="43"/>
      <c r="J216" s="44"/>
    </row>
    <row r="217" spans="1:10" ht="30" customHeight="1" x14ac:dyDescent="0.25">
      <c r="A217" s="14" t="s">
        <v>392</v>
      </c>
      <c r="B217" s="3">
        <v>2600</v>
      </c>
      <c r="C217" s="3">
        <v>2905028001</v>
      </c>
      <c r="D217" t="s">
        <v>72</v>
      </c>
      <c r="E217" s="15">
        <f>IF(ISERROR(VLOOKUP(A217,SAP,11,FALSE)=1),0,(VLOOKUP(A217,SAP,11,FALSE)))</f>
        <v>-529192.75</v>
      </c>
      <c r="G217" s="17">
        <f>SUM(E216:E217)</f>
        <v>0</v>
      </c>
      <c r="I217" s="45" t="s">
        <v>393</v>
      </c>
      <c r="J217" s="46" t="s">
        <v>394</v>
      </c>
    </row>
    <row r="218" spans="1:10" ht="30" customHeight="1" x14ac:dyDescent="0.25">
      <c r="A218" s="14" t="s">
        <v>395</v>
      </c>
      <c r="B218" s="3">
        <v>2600</v>
      </c>
      <c r="C218" s="3">
        <v>1301080004</v>
      </c>
      <c r="D218" t="s">
        <v>78</v>
      </c>
      <c r="E218" s="15">
        <f>IF(ISERROR(VLOOKUP(A218,SAP,11,FALSE)=1),0,(VLOOKUP(A218,SAP,11,FALSE)))</f>
        <v>0</v>
      </c>
      <c r="G218" s="16"/>
      <c r="I218" s="43"/>
      <c r="J218" s="44"/>
    </row>
    <row r="219" spans="1:10" ht="25.5" customHeight="1" x14ac:dyDescent="0.25">
      <c r="A219" s="14" t="s">
        <v>396</v>
      </c>
      <c r="B219" s="3">
        <v>2500</v>
      </c>
      <c r="C219" s="3">
        <v>2905028015</v>
      </c>
      <c r="D219" t="s">
        <v>82</v>
      </c>
      <c r="E219" s="15">
        <f>IF(ISERROR(VLOOKUP(A219,SAP,11,FALSE)=1),0,(VLOOKUP(A219,SAP,11,FALSE)))</f>
        <v>0</v>
      </c>
      <c r="G219" s="17">
        <f>SUM(E218:E219)</f>
        <v>0</v>
      </c>
      <c r="I219" s="45" t="s">
        <v>397</v>
      </c>
      <c r="J219" s="46" t="s">
        <v>398</v>
      </c>
    </row>
    <row r="220" spans="1:10" ht="25.5" customHeight="1" x14ac:dyDescent="0.2">
      <c r="A220" s="16"/>
      <c r="C220" s="3"/>
      <c r="E220" s="15"/>
      <c r="G220" s="19"/>
      <c r="I220" s="43"/>
      <c r="J220" s="44"/>
    </row>
    <row r="221" spans="1:10" ht="25.5" customHeight="1" x14ac:dyDescent="0.2">
      <c r="A221" s="16" t="s">
        <v>399</v>
      </c>
      <c r="B221" s="3">
        <v>1000</v>
      </c>
      <c r="C221" s="3">
        <v>1301120001</v>
      </c>
      <c r="D221" s="2" t="s">
        <v>400</v>
      </c>
      <c r="E221" s="15">
        <f>IF(ISERROR(VLOOKUP(A221,SAP,11,FALSE)=1),0,(VLOOKUP(A221,SAP,11,FALSE)))</f>
        <v>0</v>
      </c>
      <c r="G221" s="16"/>
      <c r="I221" s="43"/>
      <c r="J221" s="44"/>
    </row>
    <row r="222" spans="1:10" ht="25.5" customHeight="1" x14ac:dyDescent="0.25">
      <c r="A222" s="16" t="s">
        <v>401</v>
      </c>
      <c r="B222" s="3">
        <v>1600</v>
      </c>
      <c r="C222" s="3">
        <v>2905010001</v>
      </c>
      <c r="D222" s="2" t="s">
        <v>16</v>
      </c>
      <c r="E222" s="15">
        <f>IF(ISERROR(VLOOKUP(A222,SAP,11,FALSE)=1),0,(VLOOKUP(A222,SAP,11,FALSE)))</f>
        <v>0</v>
      </c>
      <c r="G222" s="17">
        <f>SUM(E221:E222)</f>
        <v>0</v>
      </c>
      <c r="I222" s="45" t="s">
        <v>402</v>
      </c>
      <c r="J222" s="46" t="s">
        <v>403</v>
      </c>
    </row>
    <row r="223" spans="1:10" ht="25.5" customHeight="1" x14ac:dyDescent="0.2">
      <c r="A223" s="16" t="s">
        <v>404</v>
      </c>
      <c r="B223" s="3">
        <v>1600</v>
      </c>
      <c r="C223" s="3">
        <v>1301110001</v>
      </c>
      <c r="D223" s="2" t="s">
        <v>12</v>
      </c>
      <c r="E223" s="15">
        <f>IF(ISERROR(VLOOKUP(A223,SAP,11,FALSE)=1),0,(VLOOKUP(A223,SAP,11,FALSE)))</f>
        <v>0</v>
      </c>
      <c r="G223" s="16"/>
      <c r="I223" s="43"/>
      <c r="J223" s="44"/>
    </row>
    <row r="224" spans="1:10" ht="25.5" customHeight="1" x14ac:dyDescent="0.25">
      <c r="A224" s="16" t="s">
        <v>405</v>
      </c>
      <c r="B224" s="3">
        <v>1000</v>
      </c>
      <c r="C224" s="3">
        <v>2905028002</v>
      </c>
      <c r="D224" s="2" t="s">
        <v>406</v>
      </c>
      <c r="E224" s="15">
        <f>IF(ISERROR(VLOOKUP(A224,SAP,11,FALSE)=1),0,(VLOOKUP(A224,SAP,11,FALSE)))</f>
        <v>0</v>
      </c>
      <c r="G224" s="17">
        <f>SUM(E223:E224)</f>
        <v>0</v>
      </c>
      <c r="I224" s="45" t="s">
        <v>407</v>
      </c>
      <c r="J224" s="46" t="s">
        <v>408</v>
      </c>
    </row>
    <row r="225" spans="1:10" ht="25.5" customHeight="1" x14ac:dyDescent="0.2">
      <c r="A225" s="16"/>
      <c r="C225" s="3"/>
      <c r="E225" s="15"/>
      <c r="G225" s="19"/>
      <c r="I225" s="43"/>
      <c r="J225" s="44"/>
    </row>
    <row r="226" spans="1:10" ht="25.5" customHeight="1" x14ac:dyDescent="0.2">
      <c r="A226" s="16" t="s">
        <v>409</v>
      </c>
      <c r="B226" s="3">
        <v>1810</v>
      </c>
      <c r="C226" s="3">
        <v>2905028018</v>
      </c>
      <c r="D226" s="2" t="s">
        <v>410</v>
      </c>
      <c r="E226" s="15">
        <f>IF(ISERROR(VLOOKUP(A226,SAP,11,FALSE)=1),0,(VLOOKUP(A226,SAP,11,FALSE)))</f>
        <v>0</v>
      </c>
      <c r="G226" s="16"/>
      <c r="I226" s="43"/>
      <c r="J226" s="44"/>
    </row>
    <row r="227" spans="1:10" ht="25.5" customHeight="1" x14ac:dyDescent="0.25">
      <c r="A227" s="16" t="s">
        <v>411</v>
      </c>
      <c r="B227" s="3">
        <v>1800</v>
      </c>
      <c r="C227" s="3">
        <v>1301080019</v>
      </c>
      <c r="D227" s="2" t="s">
        <v>412</v>
      </c>
      <c r="E227" s="15">
        <f>IF(ISERROR(VLOOKUP(A227,SAP,11,FALSE)=1),0,(VLOOKUP(A227,SAP,11,FALSE)))</f>
        <v>0</v>
      </c>
      <c r="G227" s="17">
        <f>SUM(E226:E227)</f>
        <v>0</v>
      </c>
      <c r="I227" s="45" t="s">
        <v>413</v>
      </c>
      <c r="J227" s="46" t="s">
        <v>414</v>
      </c>
    </row>
    <row r="228" spans="1:10" ht="25.5" customHeight="1" x14ac:dyDescent="0.2">
      <c r="A228" s="16" t="s">
        <v>415</v>
      </c>
      <c r="B228" s="3">
        <v>1800</v>
      </c>
      <c r="C228" s="3">
        <v>2905028013</v>
      </c>
      <c r="D228" s="2" t="s">
        <v>416</v>
      </c>
      <c r="E228" s="15">
        <f>IF(ISERROR(VLOOKUP(A228,SAP,11,FALSE)=1),0,(VLOOKUP(A228,SAP,11,FALSE)))</f>
        <v>0</v>
      </c>
      <c r="G228" s="16"/>
      <c r="I228" s="43"/>
      <c r="J228" s="44"/>
    </row>
    <row r="229" spans="1:10" ht="25.5" customHeight="1" x14ac:dyDescent="0.25">
      <c r="A229" s="16" t="s">
        <v>417</v>
      </c>
      <c r="B229" s="3">
        <v>1810</v>
      </c>
      <c r="C229" s="3">
        <v>1301080018</v>
      </c>
      <c r="D229" s="2" t="s">
        <v>418</v>
      </c>
      <c r="E229" s="15">
        <f>IF(ISERROR(VLOOKUP(A229,SAP,11,FALSE)=1),0,(VLOOKUP(A229,SAP,11,FALSE)))</f>
        <v>0</v>
      </c>
      <c r="G229" s="17">
        <f>SUM(E228:E229)</f>
        <v>0</v>
      </c>
      <c r="I229" s="45" t="s">
        <v>419</v>
      </c>
      <c r="J229" s="46" t="s">
        <v>420</v>
      </c>
    </row>
    <row r="230" spans="1:10" ht="25.5" customHeight="1" x14ac:dyDescent="0.2">
      <c r="A230" s="16"/>
      <c r="C230" s="3"/>
      <c r="E230" s="15"/>
      <c r="G230" s="19"/>
      <c r="I230" s="43"/>
      <c r="J230" s="44"/>
    </row>
    <row r="231" spans="1:10" ht="25.5" customHeight="1" x14ac:dyDescent="0.2">
      <c r="A231" s="16" t="s">
        <v>421</v>
      </c>
      <c r="B231" s="3">
        <v>1000</v>
      </c>
      <c r="C231" s="3">
        <v>2905028013</v>
      </c>
      <c r="D231" s="2" t="s">
        <v>422</v>
      </c>
      <c r="E231" s="15">
        <f>IF(ISERROR(VLOOKUP(A231,SAP,11,FALSE)=1),0,(VLOOKUP(A231,SAP,11,FALSE)))</f>
        <v>0</v>
      </c>
      <c r="G231" s="16"/>
      <c r="I231" s="43"/>
      <c r="J231" s="44"/>
    </row>
    <row r="232" spans="1:10" ht="25.5" customHeight="1" x14ac:dyDescent="0.25">
      <c r="A232" s="16" t="s">
        <v>423</v>
      </c>
      <c r="B232" s="3">
        <v>1810</v>
      </c>
      <c r="C232" s="3">
        <v>1301110001</v>
      </c>
      <c r="D232" s="2" t="s">
        <v>424</v>
      </c>
      <c r="E232" s="15">
        <f>IF(ISERROR(VLOOKUP(A232,SAP,11,FALSE)=1),0,(VLOOKUP(A232,SAP,11,FALSE)))</f>
        <v>0</v>
      </c>
      <c r="G232" s="17">
        <f>SUM(E231:E232)</f>
        <v>0</v>
      </c>
      <c r="I232" s="45" t="s">
        <v>425</v>
      </c>
      <c r="J232" s="46" t="s">
        <v>426</v>
      </c>
    </row>
    <row r="233" spans="1:10" ht="25.5" customHeight="1" x14ac:dyDescent="0.2">
      <c r="A233" s="16" t="s">
        <v>427</v>
      </c>
      <c r="B233" s="3">
        <v>1810</v>
      </c>
      <c r="C233" s="3">
        <v>2905010001</v>
      </c>
      <c r="D233" s="2" t="s">
        <v>16</v>
      </c>
      <c r="E233" s="15">
        <f>IF(ISERROR(VLOOKUP(A233,SAP,11,FALSE)=1),0,(VLOOKUP(A233,SAP,11,FALSE)))</f>
        <v>0</v>
      </c>
      <c r="G233" s="16"/>
      <c r="I233" s="43"/>
      <c r="J233" s="44"/>
    </row>
    <row r="234" spans="1:10" ht="25.5" customHeight="1" x14ac:dyDescent="0.25">
      <c r="A234" s="16" t="s">
        <v>428</v>
      </c>
      <c r="B234" s="3">
        <v>1000</v>
      </c>
      <c r="C234" s="3">
        <v>1301080019</v>
      </c>
      <c r="D234" s="2" t="s">
        <v>412</v>
      </c>
      <c r="E234" s="15">
        <f>IF(ISERROR(VLOOKUP(A234,SAP,11,FALSE)=1),0,(VLOOKUP(A234,SAP,11,FALSE)))</f>
        <v>0</v>
      </c>
      <c r="G234" s="17">
        <f>SUM(E233:E234)</f>
        <v>0</v>
      </c>
      <c r="I234" s="45" t="s">
        <v>429</v>
      </c>
      <c r="J234" s="46" t="s">
        <v>430</v>
      </c>
    </row>
    <row r="235" spans="1:10" ht="25.5" customHeight="1" x14ac:dyDescent="0.2">
      <c r="A235" s="16"/>
      <c r="C235" s="3"/>
      <c r="E235" s="15"/>
      <c r="G235" s="19"/>
      <c r="I235" s="43"/>
      <c r="J235" s="44"/>
    </row>
    <row r="236" spans="1:10" ht="25.5" customHeight="1" x14ac:dyDescent="0.2">
      <c r="A236" s="16" t="s">
        <v>431</v>
      </c>
      <c r="B236" s="3">
        <v>1000</v>
      </c>
      <c r="C236" s="3">
        <v>1301080025</v>
      </c>
      <c r="D236" s="2" t="s">
        <v>432</v>
      </c>
      <c r="E236" s="15">
        <f>IF(ISERROR(VLOOKUP(A236,SAP,11,FALSE)=1),0,(VLOOKUP(A236,SAP,11,FALSE)))</f>
        <v>0</v>
      </c>
      <c r="G236" s="16"/>
      <c r="I236" s="43"/>
      <c r="J236" s="44"/>
    </row>
    <row r="237" spans="1:10" ht="25.5" customHeight="1" x14ac:dyDescent="0.25">
      <c r="A237" s="16" t="s">
        <v>433</v>
      </c>
      <c r="B237" s="3">
        <v>1820</v>
      </c>
      <c r="C237" s="3">
        <v>2905010001</v>
      </c>
      <c r="D237" s="2" t="s">
        <v>16</v>
      </c>
      <c r="E237" s="15">
        <f>IF(ISERROR(VLOOKUP(A237,SAP,11,FALSE)=1),0,(VLOOKUP(A237,SAP,11,FALSE)))</f>
        <v>0</v>
      </c>
      <c r="G237" s="17">
        <f>SUM(E236:E237)</f>
        <v>0</v>
      </c>
      <c r="I237" s="45" t="s">
        <v>434</v>
      </c>
      <c r="J237" s="46" t="s">
        <v>435</v>
      </c>
    </row>
    <row r="238" spans="1:10" ht="25.5" customHeight="1" x14ac:dyDescent="0.2">
      <c r="A238" s="16" t="s">
        <v>436</v>
      </c>
      <c r="B238" s="3">
        <v>1820</v>
      </c>
      <c r="C238" s="3">
        <v>1301110001</v>
      </c>
      <c r="D238" s="2" t="s">
        <v>12</v>
      </c>
      <c r="E238" s="15">
        <f>IF(ISERROR(VLOOKUP(A238,SAP,11,FALSE)=1),0,(VLOOKUP(A238,SAP,11,FALSE)))</f>
        <v>0</v>
      </c>
      <c r="G238" s="16"/>
      <c r="I238" s="43"/>
      <c r="J238" s="44"/>
    </row>
    <row r="239" spans="1:10" ht="25.5" customHeight="1" x14ac:dyDescent="0.25">
      <c r="A239" s="16" t="s">
        <v>437</v>
      </c>
      <c r="B239" s="3">
        <v>1000</v>
      </c>
      <c r="C239" s="3">
        <v>2905028020</v>
      </c>
      <c r="D239" s="2" t="s">
        <v>438</v>
      </c>
      <c r="E239" s="15">
        <f>IF(ISERROR(VLOOKUP(A239,SAP,11,FALSE)=1),0,(VLOOKUP(A239,SAP,11,FALSE)))</f>
        <v>0</v>
      </c>
      <c r="G239" s="17">
        <f>SUM(E238:E239)</f>
        <v>0</v>
      </c>
      <c r="I239" s="45" t="s">
        <v>439</v>
      </c>
      <c r="J239" s="46" t="s">
        <v>440</v>
      </c>
    </row>
    <row r="240" spans="1:10" ht="25.5" customHeight="1" x14ac:dyDescent="0.2">
      <c r="A240" s="16"/>
      <c r="C240" s="3"/>
      <c r="E240" s="15"/>
      <c r="G240" s="19"/>
      <c r="I240" s="43"/>
      <c r="J240" s="44"/>
    </row>
    <row r="241" spans="1:10" ht="25.5" customHeight="1" x14ac:dyDescent="0.2">
      <c r="A241" s="16" t="s">
        <v>441</v>
      </c>
      <c r="B241" s="3">
        <v>2400</v>
      </c>
      <c r="C241" s="3">
        <v>1301080019</v>
      </c>
      <c r="D241" s="2" t="s">
        <v>442</v>
      </c>
      <c r="E241" s="15">
        <f>IF(ISERROR(VLOOKUP(A241,SAP,11,FALSE)=1),0,(VLOOKUP(A241,SAP,11,FALSE)))</f>
        <v>0</v>
      </c>
      <c r="G241" s="16"/>
      <c r="I241" s="43"/>
      <c r="J241" s="44"/>
    </row>
    <row r="242" spans="1:10" ht="25.5" customHeight="1" x14ac:dyDescent="0.25">
      <c r="A242" s="16" t="s">
        <v>443</v>
      </c>
      <c r="B242" s="3">
        <v>1810</v>
      </c>
      <c r="C242" s="3">
        <v>2905028014</v>
      </c>
      <c r="D242" s="2" t="s">
        <v>62</v>
      </c>
      <c r="E242" s="15">
        <f>IF(ISERROR(VLOOKUP(A242,SAP,11,FALSE)=1),0,(VLOOKUP(A242,SAP,11,FALSE)))</f>
        <v>0</v>
      </c>
      <c r="G242" s="17">
        <f>SUM(E241:E242)</f>
        <v>0</v>
      </c>
      <c r="I242" s="45" t="s">
        <v>444</v>
      </c>
      <c r="J242" s="46" t="s">
        <v>445</v>
      </c>
    </row>
    <row r="243" spans="1:10" ht="25.5" customHeight="1" x14ac:dyDescent="0.2">
      <c r="A243" s="16" t="s">
        <v>446</v>
      </c>
      <c r="B243" s="3">
        <v>1810</v>
      </c>
      <c r="C243" s="3">
        <v>1301080020</v>
      </c>
      <c r="D243" s="2" t="s">
        <v>259</v>
      </c>
      <c r="E243" s="15">
        <f>IF(ISERROR(VLOOKUP(A243,SAP,11,FALSE)=1),0,(VLOOKUP(A243,SAP,11,FALSE)))</f>
        <v>0</v>
      </c>
      <c r="G243" s="16"/>
      <c r="I243" s="43"/>
      <c r="J243" s="44"/>
    </row>
    <row r="244" spans="1:10" ht="25.5" customHeight="1" x14ac:dyDescent="0.25">
      <c r="A244" s="16" t="s">
        <v>447</v>
      </c>
      <c r="B244" s="3">
        <v>2400</v>
      </c>
      <c r="C244" s="3">
        <v>2905028013</v>
      </c>
      <c r="D244" s="2" t="s">
        <v>448</v>
      </c>
      <c r="E244" s="15">
        <f>IF(ISERROR(VLOOKUP(A244,SAP,11,FALSE)=1),0,(VLOOKUP(A244,SAP,11,FALSE)))</f>
        <v>0</v>
      </c>
      <c r="G244" s="17">
        <f>SUM(E243:E244)</f>
        <v>0</v>
      </c>
      <c r="I244" s="45" t="s">
        <v>449</v>
      </c>
      <c r="J244" s="46" t="s">
        <v>450</v>
      </c>
    </row>
    <row r="245" spans="1:10" ht="25.5" customHeight="1" x14ac:dyDescent="0.2">
      <c r="A245" s="16"/>
      <c r="C245" s="3"/>
      <c r="E245" s="15"/>
      <c r="G245" s="19"/>
      <c r="I245" s="43"/>
      <c r="J245" s="44"/>
    </row>
    <row r="246" spans="1:10" ht="25.5" customHeight="1" x14ac:dyDescent="0.2">
      <c r="A246" s="16" t="s">
        <v>451</v>
      </c>
      <c r="B246" s="3">
        <v>2400</v>
      </c>
      <c r="C246" s="3">
        <v>1301080025</v>
      </c>
      <c r="D246" s="2" t="s">
        <v>432</v>
      </c>
      <c r="E246" s="15">
        <f>IF(ISERROR(VLOOKUP(A246,SAP,11,FALSE)=1),0,(VLOOKUP(A246,SAP,11,FALSE)))</f>
        <v>0</v>
      </c>
      <c r="G246" s="16"/>
      <c r="I246" s="43"/>
      <c r="J246" s="44"/>
    </row>
    <row r="247" spans="1:10" ht="25.5" customHeight="1" x14ac:dyDescent="0.25">
      <c r="A247" s="16" t="s">
        <v>452</v>
      </c>
      <c r="B247" s="3">
        <v>1820</v>
      </c>
      <c r="C247" s="3">
        <v>2905028014</v>
      </c>
      <c r="D247" s="2" t="s">
        <v>62</v>
      </c>
      <c r="E247" s="15">
        <f>IF(ISERROR(VLOOKUP(A247,SAP,11,FALSE)=1),0,(VLOOKUP(A247,SAP,11,FALSE)))</f>
        <v>0</v>
      </c>
      <c r="G247" s="17">
        <f>SUM(E246:E247)</f>
        <v>0</v>
      </c>
      <c r="I247" s="45" t="s">
        <v>453</v>
      </c>
      <c r="J247" s="46" t="s">
        <v>454</v>
      </c>
    </row>
    <row r="248" spans="1:10" ht="25.5" customHeight="1" x14ac:dyDescent="0.2">
      <c r="A248" s="16" t="s">
        <v>455</v>
      </c>
      <c r="B248" s="3">
        <v>1820</v>
      </c>
      <c r="C248" s="3">
        <v>1301080020</v>
      </c>
      <c r="D248" s="2" t="s">
        <v>259</v>
      </c>
      <c r="E248" s="15">
        <f>IF(ISERROR(VLOOKUP(A248,SAP,11,FALSE)=1),0,(VLOOKUP(A248,SAP,11,FALSE)))</f>
        <v>0</v>
      </c>
      <c r="G248" s="16"/>
      <c r="I248" s="43"/>
      <c r="J248" s="44"/>
    </row>
    <row r="249" spans="1:10" ht="25.5" customHeight="1" x14ac:dyDescent="0.25">
      <c r="A249" s="16" t="s">
        <v>456</v>
      </c>
      <c r="B249" s="3">
        <v>2400</v>
      </c>
      <c r="C249" s="3">
        <v>2905028020</v>
      </c>
      <c r="D249" s="2" t="s">
        <v>438</v>
      </c>
      <c r="E249" s="15">
        <f>IF(ISERROR(VLOOKUP(A249,SAP,11,FALSE)=1),0,(VLOOKUP(A249,SAP,11,FALSE)))</f>
        <v>0</v>
      </c>
      <c r="G249" s="17">
        <f>SUM(E248:E249)</f>
        <v>0</v>
      </c>
      <c r="I249" s="45" t="s">
        <v>457</v>
      </c>
      <c r="J249" s="46" t="s">
        <v>458</v>
      </c>
    </row>
    <row r="250" spans="1:10" ht="25.5" customHeight="1" x14ac:dyDescent="0.25">
      <c r="E250" s="15"/>
      <c r="I250" s="45"/>
      <c r="J250" s="46"/>
    </row>
    <row r="251" spans="1:10" ht="25.5" customHeight="1" x14ac:dyDescent="0.2">
      <c r="A251" s="16" t="s">
        <v>459</v>
      </c>
      <c r="B251" s="3">
        <v>2200</v>
      </c>
      <c r="C251" s="3">
        <v>1301180005</v>
      </c>
      <c r="D251" s="2" t="s">
        <v>460</v>
      </c>
      <c r="E251" s="15">
        <f>IF(ISERROR(VLOOKUP(A251,SAP,11,FALSE)=1),0,(VLOOKUP(A251,SAP,11,FALSE)))</f>
        <v>0</v>
      </c>
      <c r="I251" s="43"/>
      <c r="J251" s="44"/>
    </row>
    <row r="252" spans="1:10" ht="25.5" customHeight="1" x14ac:dyDescent="0.25">
      <c r="A252" s="16" t="s">
        <v>461</v>
      </c>
      <c r="B252" s="3">
        <v>9900</v>
      </c>
      <c r="C252" s="3">
        <v>2905022005</v>
      </c>
      <c r="D252" s="2" t="s">
        <v>462</v>
      </c>
      <c r="E252" s="15">
        <f>IF(ISERROR(VLOOKUP(A252,SAP,11,FALSE)=1),0,(VLOOKUP(A252,SAP,11,FALSE)))</f>
        <v>0</v>
      </c>
      <c r="G252" s="17">
        <f>SUM(E251:E252)</f>
        <v>0</v>
      </c>
      <c r="I252" s="45" t="s">
        <v>463</v>
      </c>
      <c r="J252" s="46" t="s">
        <v>464</v>
      </c>
    </row>
    <row r="253" spans="1:10" ht="25.5" customHeight="1" x14ac:dyDescent="0.25">
      <c r="A253" s="16" t="s">
        <v>465</v>
      </c>
      <c r="B253" s="3">
        <v>9900</v>
      </c>
      <c r="C253" s="3">
        <v>1301080003</v>
      </c>
      <c r="D253" s="2" t="s">
        <v>466</v>
      </c>
      <c r="E253" s="15">
        <f>IF(ISERROR(VLOOKUP(A253,SAP,11,FALSE)=1),0,(VLOOKUP(A253,SAP,11,FALSE)))</f>
        <v>0</v>
      </c>
      <c r="I253" s="45"/>
      <c r="J253" s="46"/>
    </row>
    <row r="254" spans="1:10" ht="25.5" customHeight="1" x14ac:dyDescent="0.2">
      <c r="A254" s="16" t="s">
        <v>467</v>
      </c>
      <c r="B254" s="3">
        <v>2200</v>
      </c>
      <c r="C254" s="3">
        <v>2905036005</v>
      </c>
      <c r="D254" s="2" t="s">
        <v>468</v>
      </c>
      <c r="E254" s="15">
        <f>IF(ISERROR(VLOOKUP(A254,SAP,11,FALSE)=1),0,(VLOOKUP(A254,SAP,11,FALSE)))</f>
        <v>0</v>
      </c>
      <c r="G254" s="17">
        <f>SUM(E253:E254)</f>
        <v>0</v>
      </c>
      <c r="I254" s="43" t="s">
        <v>469</v>
      </c>
      <c r="J254" s="44" t="s">
        <v>470</v>
      </c>
    </row>
    <row r="255" spans="1:10" ht="25.5" customHeight="1" x14ac:dyDescent="0.25">
      <c r="A255" s="3"/>
      <c r="C255" s="3"/>
      <c r="E255" s="15"/>
      <c r="I255" s="45"/>
      <c r="J255" s="46"/>
    </row>
    <row r="256" spans="1:10" ht="25.5" customHeight="1" x14ac:dyDescent="0.25">
      <c r="A256" s="16" t="s">
        <v>471</v>
      </c>
      <c r="B256" s="3">
        <v>2200</v>
      </c>
      <c r="C256" s="3">
        <v>1301180004</v>
      </c>
      <c r="D256" s="2" t="s">
        <v>472</v>
      </c>
      <c r="E256" s="15">
        <f>IF(ISERROR(VLOOKUP(A256,SAP,11,FALSE)=1),0,(VLOOKUP(A256,SAP,11,FALSE)))</f>
        <v>46869.599999999999</v>
      </c>
      <c r="I256" s="45"/>
      <c r="J256" s="46"/>
    </row>
    <row r="257" spans="1:10" ht="25.5" customHeight="1" x14ac:dyDescent="0.2">
      <c r="A257" s="16" t="s">
        <v>473</v>
      </c>
      <c r="B257" s="3">
        <v>9901</v>
      </c>
      <c r="C257" s="3">
        <v>2905022005</v>
      </c>
      <c r="D257" s="2" t="s">
        <v>462</v>
      </c>
      <c r="E257" s="15">
        <f>IF(ISERROR(VLOOKUP(A257,SAP,11,FALSE)=1),0,(VLOOKUP(A257,SAP,11,FALSE)))</f>
        <v>0</v>
      </c>
      <c r="G257" s="17">
        <f>SUM(E256:E257)</f>
        <v>46869.599999999999</v>
      </c>
      <c r="I257" s="43" t="s">
        <v>474</v>
      </c>
      <c r="J257" s="44" t="s">
        <v>475</v>
      </c>
    </row>
    <row r="258" spans="1:10" ht="25.5" customHeight="1" x14ac:dyDescent="0.25">
      <c r="A258" s="16" t="s">
        <v>476</v>
      </c>
      <c r="B258" s="3">
        <v>9901</v>
      </c>
      <c r="C258" s="3">
        <v>1301080003</v>
      </c>
      <c r="D258" s="2" t="s">
        <v>466</v>
      </c>
      <c r="E258" s="15">
        <f>IF(ISERROR(VLOOKUP(A258,SAP,11,FALSE)=1),0,(VLOOKUP(A258,SAP,11,FALSE)))</f>
        <v>0</v>
      </c>
      <c r="I258" s="45"/>
      <c r="J258" s="46"/>
    </row>
    <row r="259" spans="1:10" ht="25.5" customHeight="1" x14ac:dyDescent="0.25">
      <c r="A259" s="16" t="s">
        <v>477</v>
      </c>
      <c r="B259" s="3">
        <v>2200</v>
      </c>
      <c r="C259" s="3">
        <v>2905036004</v>
      </c>
      <c r="D259" s="2" t="s">
        <v>478</v>
      </c>
      <c r="E259" s="15">
        <f>IF(ISERROR(VLOOKUP(A259,SAP,11,FALSE)=1),0,(VLOOKUP(A259,SAP,11,FALSE)))</f>
        <v>-0.41</v>
      </c>
      <c r="G259" s="17">
        <f>SUM(E258:E259)</f>
        <v>-0.41</v>
      </c>
      <c r="I259" s="45" t="s">
        <v>479</v>
      </c>
      <c r="J259" s="46" t="s">
        <v>480</v>
      </c>
    </row>
    <row r="260" spans="1:10" ht="25.5" customHeight="1" x14ac:dyDescent="0.2">
      <c r="A260" s="3"/>
      <c r="C260" s="3"/>
      <c r="E260" s="15"/>
      <c r="I260" s="43"/>
      <c r="J260" s="44"/>
    </row>
    <row r="261" spans="1:10" ht="25.5" customHeight="1" x14ac:dyDescent="0.25">
      <c r="A261" s="16" t="s">
        <v>481</v>
      </c>
      <c r="B261" s="3">
        <v>2400</v>
      </c>
      <c r="C261" s="3">
        <v>1301180005</v>
      </c>
      <c r="D261" s="2" t="s">
        <v>460</v>
      </c>
      <c r="E261" s="15">
        <f>IF(ISERROR(VLOOKUP(A261,SAP,11,FALSE)=1),0,(VLOOKUP(A261,SAP,11,FALSE)))</f>
        <v>36011.68</v>
      </c>
      <c r="I261" s="45"/>
      <c r="J261" s="46"/>
    </row>
    <row r="262" spans="1:10" ht="25.5" customHeight="1" x14ac:dyDescent="0.25">
      <c r="A262" s="16" t="s">
        <v>482</v>
      </c>
      <c r="B262" s="3">
        <v>9900</v>
      </c>
      <c r="C262" s="3">
        <v>2905028014</v>
      </c>
      <c r="D262" s="2" t="s">
        <v>483</v>
      </c>
      <c r="E262" s="15">
        <f>IF(ISERROR(VLOOKUP(A262,SAP,11,FALSE)=1),0,(VLOOKUP(A262,SAP,11,FALSE)))</f>
        <v>0</v>
      </c>
      <c r="G262" s="17">
        <f>SUM(E261:E262)</f>
        <v>36011.68</v>
      </c>
      <c r="I262" s="45" t="s">
        <v>484</v>
      </c>
      <c r="J262" s="46" t="s">
        <v>485</v>
      </c>
    </row>
    <row r="263" spans="1:10" ht="25.5" customHeight="1" x14ac:dyDescent="0.2">
      <c r="A263" s="16" t="s">
        <v>486</v>
      </c>
      <c r="B263" s="3">
        <v>9900</v>
      </c>
      <c r="C263" s="3">
        <v>1301080020</v>
      </c>
      <c r="D263" s="2" t="s">
        <v>487</v>
      </c>
      <c r="E263" s="15">
        <f>IF(ISERROR(VLOOKUP(A263,SAP,11,FALSE)=1),0,(VLOOKUP(A263,SAP,11,FALSE)))</f>
        <v>0</v>
      </c>
      <c r="I263" s="43"/>
      <c r="J263" s="44"/>
    </row>
    <row r="264" spans="1:10" ht="25.5" customHeight="1" x14ac:dyDescent="0.25">
      <c r="A264" s="16" t="s">
        <v>488</v>
      </c>
      <c r="B264" s="3">
        <v>2400</v>
      </c>
      <c r="C264" s="3">
        <v>2905036005</v>
      </c>
      <c r="D264" s="2" t="s">
        <v>489</v>
      </c>
      <c r="E264" s="15">
        <f>IF(ISERROR(VLOOKUP(A264,SAP,11,FALSE)=1),0,(VLOOKUP(A264,SAP,11,FALSE)))</f>
        <v>-17470.32</v>
      </c>
      <c r="G264" s="17">
        <f>SUM(E263:E264)</f>
        <v>-17470.32</v>
      </c>
      <c r="I264" s="45" t="s">
        <v>490</v>
      </c>
      <c r="J264" s="46" t="s">
        <v>491</v>
      </c>
    </row>
    <row r="265" spans="1:10" ht="25.5" customHeight="1" x14ac:dyDescent="0.25">
      <c r="A265" s="16"/>
      <c r="C265" s="3"/>
      <c r="E265" s="15"/>
      <c r="I265" s="45"/>
      <c r="J265" s="46"/>
    </row>
    <row r="266" spans="1:10" ht="25.5" customHeight="1" x14ac:dyDescent="0.2">
      <c r="A266" s="16" t="s">
        <v>492</v>
      </c>
      <c r="B266" s="3">
        <v>2500</v>
      </c>
      <c r="C266" s="3">
        <v>1301180005</v>
      </c>
      <c r="D266" s="2" t="s">
        <v>460</v>
      </c>
      <c r="E266" s="15">
        <f>IF(ISERROR(VLOOKUP(A266,SAP,11,FALSE)=1),0,(VLOOKUP(A266,SAP,11,FALSE)))</f>
        <v>109932.81</v>
      </c>
      <c r="I266" s="43"/>
      <c r="J266" s="44"/>
    </row>
    <row r="267" spans="1:10" ht="25.5" customHeight="1" x14ac:dyDescent="0.25">
      <c r="A267" s="16" t="s">
        <v>493</v>
      </c>
      <c r="B267" s="3">
        <v>9900</v>
      </c>
      <c r="C267" s="3">
        <v>2905028001</v>
      </c>
      <c r="D267" s="2" t="s">
        <v>494</v>
      </c>
      <c r="E267" s="15">
        <f>IF(ISERROR(VLOOKUP(A267,SAP,11,FALSE)=1),0,(VLOOKUP(A267,SAP,11,FALSE)))</f>
        <v>0</v>
      </c>
      <c r="G267" s="17">
        <f>SUM(E266:E267)</f>
        <v>109932.81</v>
      </c>
      <c r="I267" s="45" t="s">
        <v>495</v>
      </c>
      <c r="J267" s="46" t="s">
        <v>496</v>
      </c>
    </row>
    <row r="268" spans="1:10" ht="25.5" customHeight="1" x14ac:dyDescent="0.25">
      <c r="A268" s="16" t="s">
        <v>497</v>
      </c>
      <c r="B268" s="3">
        <v>9900</v>
      </c>
      <c r="C268" s="3">
        <v>1301080004</v>
      </c>
      <c r="D268" s="2" t="s">
        <v>498</v>
      </c>
      <c r="E268" s="15">
        <f>IF(ISERROR(VLOOKUP(A268,SAP,11,FALSE)=1),0,(VLOOKUP(A268,SAP,11,FALSE)))</f>
        <v>0</v>
      </c>
      <c r="I268" s="45"/>
      <c r="J268" s="46"/>
    </row>
    <row r="269" spans="1:10" ht="25.5" customHeight="1" x14ac:dyDescent="0.2">
      <c r="A269" s="16" t="s">
        <v>499</v>
      </c>
      <c r="B269" s="3">
        <v>2500</v>
      </c>
      <c r="C269" s="3">
        <v>2905036005</v>
      </c>
      <c r="D269" s="2" t="s">
        <v>489</v>
      </c>
      <c r="E269" s="15">
        <f>IF(ISERROR(VLOOKUP(A269,SAP,11,FALSE)=1),0,(VLOOKUP(A269,SAP,11,FALSE)))</f>
        <v>-119535.49</v>
      </c>
      <c r="G269" s="17">
        <f>SUM(E268:E269)</f>
        <v>-119535.49</v>
      </c>
      <c r="I269" s="43" t="s">
        <v>500</v>
      </c>
      <c r="J269" s="44" t="s">
        <v>501</v>
      </c>
    </row>
    <row r="270" spans="1:10" ht="25.5" customHeight="1" x14ac:dyDescent="0.25">
      <c r="A270" s="16"/>
      <c r="C270" s="3"/>
      <c r="E270" s="15"/>
      <c r="I270" s="45"/>
      <c r="J270" s="46"/>
    </row>
    <row r="271" spans="1:10" ht="25.5" customHeight="1" x14ac:dyDescent="0.25">
      <c r="A271" s="16" t="s">
        <v>502</v>
      </c>
      <c r="B271" s="3">
        <v>2500</v>
      </c>
      <c r="C271" s="3">
        <v>1301180004</v>
      </c>
      <c r="D271" s="2" t="s">
        <v>472</v>
      </c>
      <c r="E271" s="15">
        <f>IF(ISERROR(VLOOKUP(A271,SAP,11,FALSE)=1),0,(VLOOKUP(A271,SAP,11,FALSE)))</f>
        <v>0</v>
      </c>
      <c r="I271" s="45"/>
      <c r="J271" s="46"/>
    </row>
    <row r="272" spans="1:10" ht="25.5" customHeight="1" x14ac:dyDescent="0.2">
      <c r="A272" s="16" t="s">
        <v>503</v>
      </c>
      <c r="B272" s="3">
        <v>9901</v>
      </c>
      <c r="C272" s="3">
        <v>2905028001</v>
      </c>
      <c r="D272" s="2" t="s">
        <v>494</v>
      </c>
      <c r="E272" s="15">
        <f>IF(ISERROR(VLOOKUP(A272,SAP,11,FALSE)=1),0,(VLOOKUP(A272,SAP,11,FALSE)))</f>
        <v>0</v>
      </c>
      <c r="G272" s="17">
        <f>SUM(E271:E272)</f>
        <v>0</v>
      </c>
      <c r="I272" s="43" t="s">
        <v>504</v>
      </c>
      <c r="J272" s="44" t="s">
        <v>505</v>
      </c>
    </row>
    <row r="273" spans="1:10" ht="25.5" customHeight="1" x14ac:dyDescent="0.25">
      <c r="A273" s="16" t="s">
        <v>506</v>
      </c>
      <c r="B273" s="3">
        <v>9901</v>
      </c>
      <c r="C273" s="3">
        <v>1301080004</v>
      </c>
      <c r="D273" s="2" t="s">
        <v>498</v>
      </c>
      <c r="E273" s="15">
        <f>IF(ISERROR(VLOOKUP(A273,SAP,11,FALSE)=1),0,(VLOOKUP(A273,SAP,11,FALSE)))</f>
        <v>0</v>
      </c>
      <c r="I273" s="45"/>
      <c r="J273" s="46"/>
    </row>
    <row r="274" spans="1:10" ht="25.5" customHeight="1" x14ac:dyDescent="0.25">
      <c r="A274" s="16" t="s">
        <v>507</v>
      </c>
      <c r="B274" s="3">
        <v>2500</v>
      </c>
      <c r="C274" s="3">
        <v>2905036004</v>
      </c>
      <c r="D274" s="2" t="s">
        <v>478</v>
      </c>
      <c r="E274" s="15">
        <f>IF(ISERROR(VLOOKUP(A274,SAP,11,FALSE)=1),0,(VLOOKUP(A274,SAP,11,FALSE)))</f>
        <v>-16657.810000000001</v>
      </c>
      <c r="G274" s="17">
        <f>SUM(E273:E274)</f>
        <v>-16657.810000000001</v>
      </c>
      <c r="I274" s="45" t="s">
        <v>508</v>
      </c>
      <c r="J274" s="46" t="s">
        <v>509</v>
      </c>
    </row>
    <row r="275" spans="1:10" ht="25.5" customHeight="1" x14ac:dyDescent="0.2">
      <c r="A275" s="16"/>
      <c r="C275" s="3"/>
      <c r="E275" s="15"/>
      <c r="I275" s="43"/>
      <c r="J275" s="44"/>
    </row>
    <row r="276" spans="1:10" ht="25.5" customHeight="1" x14ac:dyDescent="0.25">
      <c r="A276" s="16" t="s">
        <v>510</v>
      </c>
      <c r="B276" s="3">
        <v>2400</v>
      </c>
      <c r="C276" s="3">
        <v>1301180004</v>
      </c>
      <c r="D276" s="2" t="s">
        <v>472</v>
      </c>
      <c r="E276" s="15">
        <f>IF(ISERROR(VLOOKUP(A276,SAP,11,FALSE)=1),0,(VLOOKUP(A276,SAP,11,FALSE)))</f>
        <v>6750</v>
      </c>
      <c r="I276" s="45"/>
      <c r="J276" s="46"/>
    </row>
    <row r="277" spans="1:10" ht="25.5" customHeight="1" x14ac:dyDescent="0.25">
      <c r="A277" s="16" t="s">
        <v>511</v>
      </c>
      <c r="B277" s="3">
        <v>9901</v>
      </c>
      <c r="C277" s="3">
        <v>2905028014</v>
      </c>
      <c r="D277" s="2" t="s">
        <v>512</v>
      </c>
      <c r="E277" s="15">
        <f>IF(ISERROR(VLOOKUP(A277,SAP,11,FALSE)=1),0,(VLOOKUP(A277,SAP,11,FALSE)))</f>
        <v>0</v>
      </c>
      <c r="G277" s="17">
        <f>SUM(E276:E277)</f>
        <v>6750</v>
      </c>
      <c r="I277" s="45" t="s">
        <v>513</v>
      </c>
      <c r="J277" s="46" t="s">
        <v>514</v>
      </c>
    </row>
    <row r="278" spans="1:10" ht="25.5" customHeight="1" x14ac:dyDescent="0.2">
      <c r="A278" s="16" t="s">
        <v>515</v>
      </c>
      <c r="B278" s="3">
        <v>9901</v>
      </c>
      <c r="C278" s="3">
        <v>1301080020</v>
      </c>
      <c r="D278" s="2" t="s">
        <v>487</v>
      </c>
      <c r="E278" s="15">
        <f>IF(ISERROR(VLOOKUP(A278,SAP,11,FALSE)=1),0,(VLOOKUP(A278,SAP,11,FALSE)))</f>
        <v>0</v>
      </c>
      <c r="I278" s="43"/>
      <c r="J278" s="44"/>
    </row>
    <row r="279" spans="1:10" ht="25.5" customHeight="1" x14ac:dyDescent="0.25">
      <c r="A279" s="16" t="s">
        <v>516</v>
      </c>
      <c r="B279" s="3">
        <v>2400</v>
      </c>
      <c r="C279" s="3">
        <v>2905036004</v>
      </c>
      <c r="D279" s="2" t="s">
        <v>478</v>
      </c>
      <c r="E279" s="15">
        <f>IF(ISERROR(VLOOKUP(A279,SAP,11,FALSE)=1),0,(VLOOKUP(A279,SAP,11,FALSE)))</f>
        <v>0</v>
      </c>
      <c r="G279" s="17">
        <f>SUM(E278:E279)</f>
        <v>0</v>
      </c>
      <c r="I279" s="45" t="s">
        <v>517</v>
      </c>
      <c r="J279" s="46" t="s">
        <v>518</v>
      </c>
    </row>
    <row r="280" spans="1:10" ht="25.5" customHeight="1" x14ac:dyDescent="0.25">
      <c r="A280" s="16"/>
      <c r="C280" s="3"/>
      <c r="E280" s="15"/>
      <c r="I280" s="45"/>
      <c r="J280" s="46"/>
    </row>
    <row r="281" spans="1:10" ht="25.5" customHeight="1" x14ac:dyDescent="0.2">
      <c r="A281" s="16" t="s">
        <v>519</v>
      </c>
      <c r="B281" s="3">
        <v>9900</v>
      </c>
      <c r="C281" s="3">
        <v>1301180004</v>
      </c>
      <c r="D281" s="2" t="s">
        <v>472</v>
      </c>
      <c r="E281" s="15">
        <f>IF(ISERROR(VLOOKUP(A281,SAP,11,FALSE)=1),0,(VLOOKUP(A281,SAP,11,FALSE)))</f>
        <v>0</v>
      </c>
      <c r="I281" s="43"/>
      <c r="J281" s="44"/>
    </row>
    <row r="282" spans="1:10" ht="25.5" customHeight="1" x14ac:dyDescent="0.25">
      <c r="A282" s="16" t="s">
        <v>520</v>
      </c>
      <c r="B282" s="3">
        <v>9901</v>
      </c>
      <c r="C282" s="3">
        <v>2905036005</v>
      </c>
      <c r="D282" s="2" t="s">
        <v>489</v>
      </c>
      <c r="E282" s="15">
        <f>IF(ISERROR(VLOOKUP(A282,SAP,11,FALSE)=1),0,(VLOOKUP(A282,SAP,11,FALSE)))</f>
        <v>0</v>
      </c>
      <c r="G282" s="17">
        <f>SUM(E281:E282)</f>
        <v>0</v>
      </c>
      <c r="I282" s="45" t="s">
        <v>521</v>
      </c>
      <c r="J282" s="46" t="s">
        <v>522</v>
      </c>
    </row>
    <row r="283" spans="1:10" ht="25.5" customHeight="1" x14ac:dyDescent="0.25">
      <c r="A283" s="16" t="s">
        <v>523</v>
      </c>
      <c r="B283" s="3">
        <v>9901</v>
      </c>
      <c r="C283" s="3">
        <v>1301180005</v>
      </c>
      <c r="D283" s="2" t="s">
        <v>460</v>
      </c>
      <c r="E283" s="15">
        <f>IF(ISERROR(VLOOKUP(A283,SAP,11,FALSE)=1),0,(VLOOKUP(A283,SAP,11,FALSE)))</f>
        <v>0</v>
      </c>
      <c r="I283" s="45"/>
      <c r="J283" s="46"/>
    </row>
    <row r="284" spans="1:10" ht="25.5" customHeight="1" x14ac:dyDescent="0.2">
      <c r="A284" s="16" t="s">
        <v>524</v>
      </c>
      <c r="B284" s="3">
        <v>9900</v>
      </c>
      <c r="C284" s="3">
        <v>2905036004</v>
      </c>
      <c r="D284" s="2" t="s">
        <v>478</v>
      </c>
      <c r="E284" s="15">
        <f>IF(ISERROR(VLOOKUP(A284,SAP,11,FALSE)=1),0,(VLOOKUP(A284,SAP,11,FALSE)))</f>
        <v>0</v>
      </c>
      <c r="G284" s="17">
        <f>SUM(E283:E284)</f>
        <v>0</v>
      </c>
      <c r="I284" s="43" t="s">
        <v>525</v>
      </c>
      <c r="J284" s="44" t="s">
        <v>526</v>
      </c>
    </row>
    <row r="285" spans="1:10" ht="25.5" customHeight="1" x14ac:dyDescent="0.25">
      <c r="A285" s="16"/>
      <c r="C285" s="3"/>
      <c r="E285" s="15"/>
      <c r="I285" s="45"/>
      <c r="J285" s="46"/>
    </row>
    <row r="286" spans="1:10" ht="25.5" customHeight="1" x14ac:dyDescent="0.25">
      <c r="A286" s="16" t="s">
        <v>527</v>
      </c>
      <c r="B286" s="3">
        <v>9900</v>
      </c>
      <c r="C286" s="3">
        <v>1301080040</v>
      </c>
      <c r="D286" s="2" t="s">
        <v>528</v>
      </c>
      <c r="E286" s="15">
        <f>IF(ISERROR(VLOOKUP(A286,SAP,11,FALSE)=1),0,(VLOOKUP(A286,SAP,11,FALSE)))</f>
        <v>0</v>
      </c>
      <c r="I286" s="45"/>
      <c r="J286" s="46"/>
    </row>
    <row r="287" spans="1:10" ht="25.5" customHeight="1" x14ac:dyDescent="0.2">
      <c r="A287" s="16" t="s">
        <v>529</v>
      </c>
      <c r="B287" s="3">
        <v>2560</v>
      </c>
      <c r="C287" s="3">
        <v>2905036005</v>
      </c>
      <c r="D287" s="2" t="s">
        <v>489</v>
      </c>
      <c r="E287" s="15">
        <f>IF(ISERROR(VLOOKUP(A287,SAP,11,FALSE)=1),0,(VLOOKUP(A287,SAP,11,FALSE)))</f>
        <v>0</v>
      </c>
      <c r="G287" s="17">
        <f>SUM(E286:E287)</f>
        <v>0</v>
      </c>
      <c r="I287" s="43" t="s">
        <v>530</v>
      </c>
      <c r="J287" s="44" t="s">
        <v>531</v>
      </c>
    </row>
    <row r="288" spans="1:10" ht="25.5" customHeight="1" x14ac:dyDescent="0.25">
      <c r="A288" s="16" t="s">
        <v>532</v>
      </c>
      <c r="B288" s="3">
        <v>2560</v>
      </c>
      <c r="C288" s="3">
        <v>1301180005</v>
      </c>
      <c r="D288" s="2" t="s">
        <v>460</v>
      </c>
      <c r="E288" s="15">
        <f>IF(ISERROR(VLOOKUP(A288,SAP,11,FALSE)=1),0,(VLOOKUP(A288,SAP,11,FALSE)))</f>
        <v>0</v>
      </c>
      <c r="I288" s="45"/>
      <c r="J288" s="46"/>
    </row>
    <row r="289" spans="1:10" ht="25.5" customHeight="1" x14ac:dyDescent="0.25">
      <c r="A289" s="16" t="s">
        <v>533</v>
      </c>
      <c r="B289" s="3">
        <v>9900</v>
      </c>
      <c r="C289" s="3">
        <v>2905028035</v>
      </c>
      <c r="D289" s="2" t="s">
        <v>534</v>
      </c>
      <c r="E289" s="15">
        <f>IF(ISERROR(VLOOKUP(A289,SAP,11,FALSE)=1),0,(VLOOKUP(A289,SAP,11,FALSE)))</f>
        <v>0</v>
      </c>
      <c r="G289" s="17">
        <f>SUM(E288:E289)</f>
        <v>0</v>
      </c>
      <c r="I289" s="45" t="s">
        <v>535</v>
      </c>
      <c r="J289" s="46" t="s">
        <v>536</v>
      </c>
    </row>
    <row r="290" spans="1:10" ht="25.5" customHeight="1" x14ac:dyDescent="0.2">
      <c r="E290" s="15"/>
      <c r="I290" s="76"/>
      <c r="J290" s="77"/>
    </row>
    <row r="291" spans="1:10" ht="25.5" customHeight="1" thickBot="1" x14ac:dyDescent="0.25"/>
    <row r="292" spans="1:10" ht="25.5" customHeight="1" thickBot="1" x14ac:dyDescent="0.25">
      <c r="D292" s="20" t="s">
        <v>537</v>
      </c>
      <c r="E292" s="21">
        <f>SUM(E1:E290)</f>
        <v>45900.059999999983</v>
      </c>
      <c r="F292" s="21"/>
      <c r="G292" s="21">
        <f>SUM(G1:G290)</f>
        <v>45900.059999999983</v>
      </c>
      <c r="H292" s="22" t="str">
        <f>IF(G292&lt;&gt;0,"Out of Balance","In Balance")</f>
        <v>Out of Balance</v>
      </c>
    </row>
    <row r="294" spans="1:10" ht="25.5" customHeight="1" x14ac:dyDescent="0.2">
      <c r="D294" s="60" t="s">
        <v>538</v>
      </c>
      <c r="E294" s="60">
        <f>COUNTIFS(I3:I290,"I_C*",E3:E290,"&lt;&gt;0")</f>
        <v>46</v>
      </c>
    </row>
    <row r="295" spans="1:10" ht="25.5" customHeight="1" x14ac:dyDescent="0.2">
      <c r="D295" s="60" t="s">
        <v>539</v>
      </c>
      <c r="E295" s="61">
        <f>SUMIFS(E3:E290,I3:I290,"I_C*",E3:E290,"&gt;0")-SUMIFS(E3:E290,I3:I290,"I_C*",E3:E290,"&lt;0")</f>
        <v>29359881.150000002</v>
      </c>
    </row>
  </sheetData>
  <autoFilter ref="A2:GZ2" xr:uid="{00000000-0009-0000-0000-000003000000}"/>
  <mergeCells count="2">
    <mergeCell ref="I1:J1"/>
    <mergeCell ref="B1:G1"/>
  </mergeCells>
  <pageMargins left="0.25" right="0.25" top="0.75" bottom="0.75" header="0.3" footer="0.3"/>
  <pageSetup scale="31" fitToHeight="3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I268"/>
  <sheetViews>
    <sheetView zoomScale="130" zoomScaleNormal="130" workbookViewId="0">
      <pane ySplit="4" topLeftCell="A93" activePane="bottomLeft" state="frozen"/>
      <selection pane="bottomLeft" activeCell="B105" sqref="B105"/>
    </sheetView>
  </sheetViews>
  <sheetFormatPr defaultRowHeight="15" x14ac:dyDescent="0.25"/>
  <cols>
    <col min="1" max="1" width="39.42578125" style="9" bestFit="1" customWidth="1"/>
    <col min="2" max="2" width="33.85546875" style="2" bestFit="1" customWidth="1"/>
    <col min="3" max="3" width="22" style="2" bestFit="1" customWidth="1"/>
    <col min="4" max="4" width="14.28515625" bestFit="1" customWidth="1"/>
    <col min="5" max="5" width="12.28515625" customWidth="1"/>
    <col min="6" max="6" width="13.140625" customWidth="1"/>
    <col min="7" max="7" width="15" customWidth="1"/>
    <col min="8" max="8" width="12.5703125" customWidth="1"/>
    <col min="9" max="9" width="13.7109375" customWidth="1"/>
  </cols>
  <sheetData>
    <row r="1" spans="1:9" ht="15.75" customHeight="1" thickBot="1" x14ac:dyDescent="0.3">
      <c r="A1" s="26" t="s">
        <v>985</v>
      </c>
      <c r="B1" s="83" t="s">
        <v>986</v>
      </c>
      <c r="C1" s="81"/>
      <c r="D1" s="84"/>
      <c r="E1" s="84"/>
      <c r="F1" s="84"/>
      <c r="G1" s="84"/>
      <c r="H1" s="84"/>
      <c r="I1" s="84"/>
    </row>
    <row r="2" spans="1:9" ht="16.5" customHeight="1" x14ac:dyDescent="0.25">
      <c r="A2" s="27">
        <f ca="1">WORKDAY(TODAY(), 1)</f>
        <v>46303</v>
      </c>
      <c r="B2" s="88" t="str">
        <f>TEXT(DATEVALUE("1 "&amp;_xlfn.TEXTBEFORE(_xlfn.TEXTAFTER(SAP!A3,"Per month "), " in company code")),"mmm yyyy")</f>
        <v>Oct 2026</v>
      </c>
      <c r="C2" s="89"/>
      <c r="D2" s="89"/>
      <c r="E2" s="89"/>
      <c r="F2" s="89"/>
      <c r="G2" s="89"/>
      <c r="H2" s="89"/>
      <c r="I2" s="89"/>
    </row>
    <row r="3" spans="1:9" x14ac:dyDescent="0.25">
      <c r="A3" s="28"/>
      <c r="B3" s="29"/>
      <c r="C3" s="30"/>
      <c r="D3" s="85" t="s">
        <v>987</v>
      </c>
      <c r="E3" s="86"/>
      <c r="F3" s="87"/>
      <c r="G3" s="85" t="s">
        <v>988</v>
      </c>
      <c r="H3" s="86"/>
      <c r="I3" s="87"/>
    </row>
    <row r="4" spans="1:9" ht="30" customHeight="1" x14ac:dyDescent="0.25">
      <c r="A4" s="31" t="s">
        <v>7</v>
      </c>
      <c r="B4" s="8" t="s">
        <v>8</v>
      </c>
      <c r="C4" s="32" t="s">
        <v>989</v>
      </c>
      <c r="D4" s="35" t="s">
        <v>990</v>
      </c>
      <c r="E4" s="36" t="s">
        <v>991</v>
      </c>
      <c r="F4" s="37" t="s">
        <v>992</v>
      </c>
      <c r="G4" s="35" t="s">
        <v>993</v>
      </c>
      <c r="H4" s="36" t="s">
        <v>994</v>
      </c>
      <c r="I4" s="37" t="s">
        <v>995</v>
      </c>
    </row>
    <row r="5" spans="1:9" x14ac:dyDescent="0.25">
      <c r="A5" s="33" t="s">
        <v>13</v>
      </c>
      <c r="B5" t="s">
        <v>14</v>
      </c>
      <c r="C5" s="34">
        <f>IFERROR(INDEX('Kyriba PET Upload'!$B:$B,MATCH(A5,'Kyriba PET Upload'!$A:$A,0)),"")</f>
        <v>24053.81</v>
      </c>
      <c r="D5" s="38" t="s">
        <v>996</v>
      </c>
      <c r="E5" s="39">
        <v>2905024001</v>
      </c>
      <c r="F5" s="40">
        <v>1202690532</v>
      </c>
      <c r="G5" s="38" t="s">
        <v>997</v>
      </c>
      <c r="H5" s="39">
        <v>1202690551</v>
      </c>
      <c r="I5" s="40">
        <v>1301110001</v>
      </c>
    </row>
    <row r="6" spans="1:9" x14ac:dyDescent="0.25">
      <c r="A6" s="33" t="s">
        <v>24</v>
      </c>
      <c r="B6" t="s">
        <v>25</v>
      </c>
      <c r="C6" s="34">
        <f>IFERROR(INDEX('Kyriba PET Upload'!$B:$B,MATCH(A6,'Kyriba PET Upload'!$A:$A,0)),"")</f>
        <v>209559.85</v>
      </c>
      <c r="D6" s="38" t="s">
        <v>996</v>
      </c>
      <c r="E6" s="39">
        <v>2905028016</v>
      </c>
      <c r="F6" s="40">
        <v>1202690532</v>
      </c>
      <c r="G6" s="38" t="s">
        <v>998</v>
      </c>
      <c r="H6" s="39">
        <v>1202690531</v>
      </c>
      <c r="I6" s="40">
        <v>1301110001</v>
      </c>
    </row>
    <row r="7" spans="1:9" x14ac:dyDescent="0.25">
      <c r="A7" s="33" t="s">
        <v>34</v>
      </c>
      <c r="B7" t="s">
        <v>35</v>
      </c>
      <c r="C7" s="34">
        <f>IFERROR(INDEX('Kyriba PET Upload'!$B:$B,MATCH(A7,'Kyriba PET Upload'!$A:$A,0)),"")</f>
        <v>0</v>
      </c>
      <c r="D7" s="38" t="s">
        <v>996</v>
      </c>
      <c r="E7" s="39">
        <v>2905028003</v>
      </c>
      <c r="F7" s="40">
        <v>1202690532</v>
      </c>
      <c r="G7" s="38" t="s">
        <v>999</v>
      </c>
      <c r="H7" s="39">
        <v>1202690551</v>
      </c>
      <c r="I7" s="40">
        <v>1301110001</v>
      </c>
    </row>
    <row r="8" spans="1:9" x14ac:dyDescent="0.25">
      <c r="A8" s="33" t="s">
        <v>44</v>
      </c>
      <c r="B8" t="s">
        <v>45</v>
      </c>
      <c r="C8" s="34">
        <f>IFERROR(INDEX('Kyriba PET Upload'!$B:$B,MATCH(A8,'Kyriba PET Upload'!$A:$A,0)),"")</f>
        <v>0</v>
      </c>
      <c r="D8" s="38" t="s">
        <v>996</v>
      </c>
      <c r="E8" s="39">
        <v>2905028006</v>
      </c>
      <c r="F8" s="40">
        <v>1202690532</v>
      </c>
      <c r="G8" s="38" t="s">
        <v>1000</v>
      </c>
      <c r="H8" s="39">
        <v>1202690661</v>
      </c>
      <c r="I8" s="40">
        <v>1301110001</v>
      </c>
    </row>
    <row r="9" spans="1:9" x14ac:dyDescent="0.25">
      <c r="A9" s="33" t="s">
        <v>407</v>
      </c>
      <c r="B9" t="s">
        <v>408</v>
      </c>
      <c r="C9" s="34">
        <f>IFERROR(INDEX('Kyriba PET Upload'!$B:$B,MATCH(A9,'Kyriba PET Upload'!$A:$A,0)),"")</f>
        <v>0</v>
      </c>
      <c r="D9" s="38" t="s">
        <v>996</v>
      </c>
      <c r="E9" s="39">
        <v>2905028002</v>
      </c>
      <c r="F9" s="40">
        <v>1202690532</v>
      </c>
      <c r="G9" s="38" t="s">
        <v>1001</v>
      </c>
      <c r="H9" s="39">
        <v>1202690531</v>
      </c>
      <c r="I9" s="40">
        <v>1301110001</v>
      </c>
    </row>
    <row r="10" spans="1:9" x14ac:dyDescent="0.25">
      <c r="A10" s="33" t="s">
        <v>199</v>
      </c>
      <c r="B10" t="s">
        <v>200</v>
      </c>
      <c r="C10" s="34">
        <f>IFERROR(INDEX('Kyriba PET Upload'!$B:$B,MATCH(A10,'Kyriba PET Upload'!$A:$A,0)),"")</f>
        <v>175371.92</v>
      </c>
      <c r="D10" s="38" t="s">
        <v>996</v>
      </c>
      <c r="E10" s="39">
        <v>2905028018</v>
      </c>
      <c r="F10" s="40">
        <v>1202690532</v>
      </c>
      <c r="G10" s="38" t="s">
        <v>1002</v>
      </c>
      <c r="H10" s="39">
        <v>1202690241</v>
      </c>
      <c r="I10" s="40">
        <v>1301110001</v>
      </c>
    </row>
    <row r="11" spans="1:9" x14ac:dyDescent="0.25">
      <c r="A11" s="33" t="s">
        <v>425</v>
      </c>
      <c r="B11" t="s">
        <v>426</v>
      </c>
      <c r="C11" s="34">
        <f>IFERROR(INDEX('Kyriba PET Upload'!$B:$B,MATCH(A11,'Kyriba PET Upload'!$A:$A,0)),"")</f>
        <v>0</v>
      </c>
      <c r="D11" s="38" t="s">
        <v>996</v>
      </c>
      <c r="E11" s="39">
        <v>2905028013</v>
      </c>
      <c r="F11" s="40">
        <v>1202690532</v>
      </c>
      <c r="G11" s="38" t="s">
        <v>1003</v>
      </c>
      <c r="H11" s="39">
        <v>1202690241</v>
      </c>
      <c r="I11" s="40">
        <v>1301110001</v>
      </c>
    </row>
    <row r="12" spans="1:9" x14ac:dyDescent="0.25">
      <c r="A12" s="33" t="s">
        <v>439</v>
      </c>
      <c r="B12" t="s">
        <v>440</v>
      </c>
      <c r="C12" s="34">
        <f>IFERROR(INDEX('Kyriba PET Upload'!$B:$B,MATCH(A12,'Kyriba PET Upload'!$A:$A,0)),"")</f>
        <v>0</v>
      </c>
      <c r="D12" s="38" t="s">
        <v>996</v>
      </c>
      <c r="E12" s="39">
        <v>2905028020</v>
      </c>
      <c r="F12" s="40">
        <v>1202690532</v>
      </c>
      <c r="G12" s="38" t="s">
        <v>1004</v>
      </c>
      <c r="H12" s="39">
        <v>1202690531</v>
      </c>
      <c r="I12" s="40">
        <v>1301110001</v>
      </c>
    </row>
    <row r="13" spans="1:9" x14ac:dyDescent="0.25">
      <c r="A13" s="33" t="s">
        <v>309</v>
      </c>
      <c r="B13" t="s">
        <v>310</v>
      </c>
      <c r="C13" s="34">
        <f>IFERROR(INDEX('Kyriba PET Upload'!$B:$B,MATCH(A13,'Kyriba PET Upload'!$A:$A,0)),"")</f>
        <v>0</v>
      </c>
      <c r="D13" s="38" t="s">
        <v>996</v>
      </c>
      <c r="E13" s="39">
        <v>2905028032</v>
      </c>
      <c r="F13" s="40">
        <v>1202690532</v>
      </c>
      <c r="G13" s="38" t="s">
        <v>1005</v>
      </c>
      <c r="H13" s="39">
        <v>1202690551</v>
      </c>
      <c r="I13" s="40">
        <v>1301110001</v>
      </c>
    </row>
    <row r="14" spans="1:9" x14ac:dyDescent="0.25">
      <c r="A14" s="33" t="s">
        <v>236</v>
      </c>
      <c r="B14" t="s">
        <v>237</v>
      </c>
      <c r="C14" s="34">
        <f>IFERROR(INDEX('Kyriba PET Upload'!$B:$B,MATCH(A14,'Kyriba PET Upload'!$A:$A,0)),"")</f>
        <v>0</v>
      </c>
      <c r="D14" s="38" t="s">
        <v>996</v>
      </c>
      <c r="E14" s="39" t="s">
        <v>1006</v>
      </c>
      <c r="F14" s="40">
        <v>1202690532</v>
      </c>
      <c r="G14" s="38" t="s">
        <v>1007</v>
      </c>
      <c r="H14" s="39">
        <v>1202690531</v>
      </c>
      <c r="I14" s="40">
        <v>1301110001</v>
      </c>
    </row>
    <row r="15" spans="1:9" x14ac:dyDescent="0.25">
      <c r="A15" s="33" t="s">
        <v>54</v>
      </c>
      <c r="B15" t="s">
        <v>55</v>
      </c>
      <c r="C15" s="34">
        <f>IFERROR(INDEX('Kyriba PET Upload'!$B:$B,MATCH(A15,'Kyriba PET Upload'!$A:$A,0)),"")</f>
        <v>122815.64</v>
      </c>
      <c r="D15" s="38" t="s">
        <v>996</v>
      </c>
      <c r="E15" s="39">
        <v>2905022005</v>
      </c>
      <c r="F15" s="40">
        <v>1202690532</v>
      </c>
      <c r="G15" s="38" t="s">
        <v>1008</v>
      </c>
      <c r="H15" s="39">
        <v>1202690531</v>
      </c>
      <c r="I15" s="40">
        <v>1301110001</v>
      </c>
    </row>
    <row r="16" spans="1:9" x14ac:dyDescent="0.25">
      <c r="A16" s="33" t="s">
        <v>64</v>
      </c>
      <c r="B16" t="s">
        <v>65</v>
      </c>
      <c r="C16" s="34">
        <f>IFERROR(INDEX('Kyriba PET Upload'!$B:$B,MATCH(A16,'Kyriba PET Upload'!$A:$A,0)),"")</f>
        <v>3187137.57</v>
      </c>
      <c r="D16" s="38" t="s">
        <v>996</v>
      </c>
      <c r="E16" s="39">
        <v>2905028014</v>
      </c>
      <c r="F16" s="40">
        <v>1202690532</v>
      </c>
      <c r="G16" s="38" t="s">
        <v>1009</v>
      </c>
      <c r="H16" s="39">
        <v>1202690531</v>
      </c>
      <c r="I16" s="40">
        <v>1301110001</v>
      </c>
    </row>
    <row r="17" spans="1:9" x14ac:dyDescent="0.25">
      <c r="A17" s="33" t="s">
        <v>74</v>
      </c>
      <c r="B17" t="s">
        <v>75</v>
      </c>
      <c r="C17" s="34">
        <f>IFERROR(INDEX('Kyriba PET Upload'!$B:$B,MATCH(A17,'Kyriba PET Upload'!$A:$A,0)),"")</f>
        <v>1463.94</v>
      </c>
      <c r="D17" s="38" t="s">
        <v>996</v>
      </c>
      <c r="E17" s="39">
        <v>2905028001</v>
      </c>
      <c r="F17" s="40">
        <v>1202690532</v>
      </c>
      <c r="G17" s="38" t="s">
        <v>1010</v>
      </c>
      <c r="H17" s="39">
        <v>1202690531</v>
      </c>
      <c r="I17" s="40">
        <v>1301110001</v>
      </c>
    </row>
    <row r="18" spans="1:9" x14ac:dyDescent="0.25">
      <c r="A18" s="33" t="s">
        <v>319</v>
      </c>
      <c r="B18" t="s">
        <v>320</v>
      </c>
      <c r="C18" s="34">
        <f>IFERROR(INDEX('Kyriba PET Upload'!$B:$B,MATCH(A18,'Kyriba PET Upload'!$A:$A,0)),"")</f>
        <v>0</v>
      </c>
      <c r="D18" s="38" t="s">
        <v>996</v>
      </c>
      <c r="E18" s="39">
        <v>2905028035</v>
      </c>
      <c r="F18" s="40">
        <v>1202690532</v>
      </c>
      <c r="G18" s="38" t="s">
        <v>1011</v>
      </c>
      <c r="H18" s="39">
        <v>1202690531</v>
      </c>
      <c r="I18" s="40">
        <v>1301110001</v>
      </c>
    </row>
    <row r="19" spans="1:9" x14ac:dyDescent="0.25">
      <c r="A19" s="33" t="s">
        <v>84</v>
      </c>
      <c r="B19" t="s">
        <v>85</v>
      </c>
      <c r="C19" s="34">
        <f>IFERROR(INDEX('Kyriba PET Upload'!$B:$B,MATCH(A19,'Kyriba PET Upload'!$A:$A,0)),"")</f>
        <v>0</v>
      </c>
      <c r="D19" s="38" t="s">
        <v>996</v>
      </c>
      <c r="E19" s="39">
        <v>2905028015</v>
      </c>
      <c r="F19" s="40">
        <v>1202690532</v>
      </c>
      <c r="G19" s="38" t="s">
        <v>1012</v>
      </c>
      <c r="H19" s="39">
        <v>1202690531</v>
      </c>
      <c r="I19" s="40">
        <v>1301110001</v>
      </c>
    </row>
    <row r="20" spans="1:9" x14ac:dyDescent="0.25">
      <c r="A20" s="33" t="s">
        <v>268</v>
      </c>
      <c r="B20" t="s">
        <v>269</v>
      </c>
      <c r="C20" s="34">
        <f>IFERROR(INDEX('Kyriba PET Upload'!$B:$B,MATCH(A20,'Kyriba PET Upload'!$A:$A,0)),"")</f>
        <v>0</v>
      </c>
      <c r="D20" s="38" t="s">
        <v>996</v>
      </c>
      <c r="E20" s="39">
        <v>2905028028</v>
      </c>
      <c r="F20" s="40">
        <v>1202690532</v>
      </c>
      <c r="G20" s="38" t="s">
        <v>1013</v>
      </c>
      <c r="H20" s="39">
        <v>1202691251</v>
      </c>
      <c r="I20" s="40">
        <v>1301110001</v>
      </c>
    </row>
    <row r="21" spans="1:9" x14ac:dyDescent="0.25">
      <c r="A21" s="33" t="s">
        <v>299</v>
      </c>
      <c r="B21" t="s">
        <v>300</v>
      </c>
      <c r="C21" s="34">
        <f>IFERROR(INDEX('Kyriba PET Upload'!$B:$B,MATCH(A21,'Kyriba PET Upload'!$A:$A,0)),"")</f>
        <v>31578.31</v>
      </c>
      <c r="D21" s="38" t="s">
        <v>996</v>
      </c>
      <c r="E21" s="39">
        <v>2905028036</v>
      </c>
      <c r="F21" s="40">
        <v>1202690532</v>
      </c>
      <c r="G21" s="38" t="s">
        <v>1014</v>
      </c>
      <c r="H21" s="39">
        <v>1202690531</v>
      </c>
      <c r="I21" s="40">
        <v>1301110001</v>
      </c>
    </row>
    <row r="22" spans="1:9" x14ac:dyDescent="0.25">
      <c r="A22" s="33" t="s">
        <v>19</v>
      </c>
      <c r="B22" t="s">
        <v>20</v>
      </c>
      <c r="C22" s="34">
        <f>IFERROR(INDEX('Kyriba PET Upload'!$B:$B,MATCH(A22,'Kyriba PET Upload'!$A:$A,0)),"")</f>
        <v>47844.89</v>
      </c>
      <c r="D22" s="38" t="s">
        <v>997</v>
      </c>
      <c r="E22" s="39">
        <v>2905010001</v>
      </c>
      <c r="F22" s="40">
        <v>1202690552</v>
      </c>
      <c r="G22" s="38" t="s">
        <v>996</v>
      </c>
      <c r="H22" s="39">
        <v>1202690551</v>
      </c>
      <c r="I22" s="40">
        <v>1301150001</v>
      </c>
    </row>
    <row r="23" spans="1:9" x14ac:dyDescent="0.25">
      <c r="A23" s="33" t="s">
        <v>93</v>
      </c>
      <c r="B23" t="s">
        <v>94</v>
      </c>
      <c r="C23" s="34">
        <f>IFERROR(INDEX('Kyriba PET Upload'!$B:$B,MATCH(A23,'Kyriba PET Upload'!$A:$A,0)),"")</f>
        <v>69659.5</v>
      </c>
      <c r="D23" s="38" t="s">
        <v>997</v>
      </c>
      <c r="E23" s="39">
        <v>2905028014</v>
      </c>
      <c r="F23" s="40">
        <v>1202690552</v>
      </c>
      <c r="G23" s="38" t="s">
        <v>1009</v>
      </c>
      <c r="H23" s="39">
        <v>1202690531</v>
      </c>
      <c r="I23" s="40">
        <v>1301150001</v>
      </c>
    </row>
    <row r="24" spans="1:9" x14ac:dyDescent="0.25">
      <c r="A24" s="33" t="s">
        <v>29</v>
      </c>
      <c r="B24" t="s">
        <v>30</v>
      </c>
      <c r="C24" s="34">
        <f>IFERROR(INDEX('Kyriba PET Upload'!$B:$B,MATCH(A24,'Kyriba PET Upload'!$A:$A,0)),"")</f>
        <v>538696.59</v>
      </c>
      <c r="D24" s="38" t="s">
        <v>998</v>
      </c>
      <c r="E24" s="39">
        <v>2905010001</v>
      </c>
      <c r="F24" s="40" t="s">
        <v>1015</v>
      </c>
      <c r="G24" s="38" t="s">
        <v>996</v>
      </c>
      <c r="H24" s="39">
        <v>1202690531</v>
      </c>
      <c r="I24" s="40">
        <v>1301080022</v>
      </c>
    </row>
    <row r="25" spans="1:9" x14ac:dyDescent="0.25">
      <c r="A25" s="33" t="s">
        <v>105</v>
      </c>
      <c r="B25" t="s">
        <v>106</v>
      </c>
      <c r="C25" s="34">
        <f>IFERROR(INDEX('Kyriba PET Upload'!$B:$B,MATCH(A25,'Kyriba PET Upload'!$A:$A,0)),"")</f>
        <v>455687.58</v>
      </c>
      <c r="D25" s="38" t="s">
        <v>998</v>
      </c>
      <c r="E25" s="39">
        <v>2905028014</v>
      </c>
      <c r="F25" s="40" t="s">
        <v>1015</v>
      </c>
      <c r="G25" s="38" t="s">
        <v>1009</v>
      </c>
      <c r="H25" s="39">
        <v>1202690531</v>
      </c>
      <c r="I25" s="40">
        <v>1301080022</v>
      </c>
    </row>
    <row r="26" spans="1:9" x14ac:dyDescent="0.25">
      <c r="A26" s="33" t="s">
        <v>360</v>
      </c>
      <c r="B26" t="s">
        <v>361</v>
      </c>
      <c r="C26" s="34">
        <f>IFERROR(INDEX('Kyriba PET Upload'!$B:$B,MATCH(A26,'Kyriba PET Upload'!$A:$A,0)),"")</f>
        <v>0</v>
      </c>
      <c r="D26" s="38" t="s">
        <v>998</v>
      </c>
      <c r="E26" s="39">
        <v>2905028015</v>
      </c>
      <c r="F26" s="40" t="s">
        <v>1015</v>
      </c>
      <c r="G26" s="38" t="s">
        <v>1012</v>
      </c>
      <c r="H26" s="39">
        <v>1202690531</v>
      </c>
      <c r="I26" s="40">
        <v>1301080022</v>
      </c>
    </row>
    <row r="27" spans="1:9" x14ac:dyDescent="0.25">
      <c r="A27" s="33" t="s">
        <v>351</v>
      </c>
      <c r="B27" t="s">
        <v>352</v>
      </c>
      <c r="C27" s="34">
        <f>IFERROR(INDEX('Kyriba PET Upload'!$B:$B,MATCH(A27,'Kyriba PET Upload'!$A:$A,0)),"")</f>
        <v>0</v>
      </c>
      <c r="D27" s="38" t="s">
        <v>998</v>
      </c>
      <c r="E27" s="39">
        <v>2905028036</v>
      </c>
      <c r="F27" s="40" t="s">
        <v>1015</v>
      </c>
      <c r="G27" s="38" t="s">
        <v>1014</v>
      </c>
      <c r="H27" s="39">
        <v>1202690531</v>
      </c>
      <c r="I27" s="40">
        <v>1301080022</v>
      </c>
    </row>
    <row r="28" spans="1:9" x14ac:dyDescent="0.25">
      <c r="A28" s="33" t="s">
        <v>39</v>
      </c>
      <c r="B28" t="s">
        <v>40</v>
      </c>
      <c r="C28" s="34">
        <f>IFERROR(INDEX('Kyriba PET Upload'!$B:$B,MATCH(A28,'Kyriba PET Upload'!$A:$A,0)),"")</f>
        <v>0</v>
      </c>
      <c r="D28" s="38" t="s">
        <v>999</v>
      </c>
      <c r="E28" s="39">
        <v>2905010001</v>
      </c>
      <c r="F28" s="40" t="s">
        <v>1016</v>
      </c>
      <c r="G28" s="38" t="s">
        <v>996</v>
      </c>
      <c r="H28" s="39">
        <v>1202690531</v>
      </c>
      <c r="I28" s="40">
        <v>1301120004</v>
      </c>
    </row>
    <row r="29" spans="1:9" x14ac:dyDescent="0.25">
      <c r="A29" s="33" t="s">
        <v>113</v>
      </c>
      <c r="B29" t="s">
        <v>114</v>
      </c>
      <c r="C29" s="34">
        <f>IFERROR(INDEX('Kyriba PET Upload'!$B:$B,MATCH(A29,'Kyriba PET Upload'!$A:$A,0)),"")</f>
        <v>13992.87</v>
      </c>
      <c r="D29" s="38" t="s">
        <v>999</v>
      </c>
      <c r="E29" s="39">
        <v>2905028014</v>
      </c>
      <c r="F29" s="40" t="s">
        <v>1016</v>
      </c>
      <c r="G29" s="38" t="s">
        <v>1009</v>
      </c>
      <c r="H29" s="39">
        <v>1202690531</v>
      </c>
      <c r="I29" s="40">
        <v>1301120004</v>
      </c>
    </row>
    <row r="30" spans="1:9" x14ac:dyDescent="0.25">
      <c r="A30" s="33" t="s">
        <v>123</v>
      </c>
      <c r="B30" t="s">
        <v>124</v>
      </c>
      <c r="C30" s="34">
        <f>IFERROR(INDEX('Kyriba PET Upload'!$B:$B,MATCH(A30,'Kyriba PET Upload'!$A:$A,0)),"")</f>
        <v>0</v>
      </c>
      <c r="D30" s="38" t="s">
        <v>999</v>
      </c>
      <c r="E30" s="39">
        <v>2905028001</v>
      </c>
      <c r="F30" s="40" t="s">
        <v>1016</v>
      </c>
      <c r="G30" s="38" t="s">
        <v>1010</v>
      </c>
      <c r="H30" s="39">
        <v>1202690531</v>
      </c>
      <c r="I30" s="40">
        <v>1301120004</v>
      </c>
    </row>
    <row r="31" spans="1:9" x14ac:dyDescent="0.25">
      <c r="A31" s="33" t="s">
        <v>402</v>
      </c>
      <c r="B31" t="s">
        <v>403</v>
      </c>
      <c r="C31" s="34">
        <f>IFERROR(INDEX('Kyriba PET Upload'!$B:$B,MATCH(A31,'Kyriba PET Upload'!$A:$A,0)),"")</f>
        <v>0</v>
      </c>
      <c r="D31" s="38" t="s">
        <v>1001</v>
      </c>
      <c r="E31" s="39">
        <v>2905010001</v>
      </c>
      <c r="F31" s="40" t="s">
        <v>1015</v>
      </c>
      <c r="G31" s="38" t="s">
        <v>996</v>
      </c>
      <c r="H31" s="39" t="s">
        <v>1017</v>
      </c>
      <c r="I31" s="40">
        <v>1301120001</v>
      </c>
    </row>
    <row r="32" spans="1:9" x14ac:dyDescent="0.25">
      <c r="A32" s="33" t="s">
        <v>201</v>
      </c>
      <c r="B32" t="s">
        <v>202</v>
      </c>
      <c r="C32" s="34">
        <f>IFERROR(INDEX('Kyriba PET Upload'!$B:$B,MATCH(A32,'Kyriba PET Upload'!$A:$A,0)),"")</f>
        <v>50719.5</v>
      </c>
      <c r="D32" s="38" t="s">
        <v>1002</v>
      </c>
      <c r="E32" s="39">
        <v>2905010001</v>
      </c>
      <c r="F32" s="40" t="s">
        <v>1018</v>
      </c>
      <c r="G32" s="38" t="s">
        <v>996</v>
      </c>
      <c r="H32" s="39" t="s">
        <v>1017</v>
      </c>
      <c r="I32" s="40">
        <v>1301080018</v>
      </c>
    </row>
    <row r="33" spans="1:9" x14ac:dyDescent="0.25">
      <c r="A33" s="33" t="s">
        <v>419</v>
      </c>
      <c r="B33" t="s">
        <v>420</v>
      </c>
      <c r="C33" s="34">
        <f>IFERROR(INDEX('Kyriba PET Upload'!$B:$B,MATCH(A33,'Kyriba PET Upload'!$A:$A,0)),"")</f>
        <v>0</v>
      </c>
      <c r="D33" s="38" t="s">
        <v>1002</v>
      </c>
      <c r="E33" s="39">
        <v>2905028013</v>
      </c>
      <c r="F33" s="40" t="s">
        <v>1018</v>
      </c>
      <c r="G33" s="38" t="s">
        <v>1003</v>
      </c>
      <c r="H33" s="39" t="s">
        <v>1019</v>
      </c>
      <c r="I33" s="40">
        <v>1301080018</v>
      </c>
    </row>
    <row r="34" spans="1:9" x14ac:dyDescent="0.25">
      <c r="A34" s="33" t="s">
        <v>192</v>
      </c>
      <c r="B34" t="s">
        <v>193</v>
      </c>
      <c r="C34" s="34">
        <f>IFERROR(INDEX('Kyriba PET Upload'!$B:$B,MATCH(A34,'Kyriba PET Upload'!$A:$A,0)),"")</f>
        <v>57536.34</v>
      </c>
      <c r="D34" s="38" t="s">
        <v>1002</v>
      </c>
      <c r="E34" s="39">
        <v>2905028014</v>
      </c>
      <c r="F34" s="40" t="s">
        <v>1018</v>
      </c>
      <c r="G34" s="38" t="s">
        <v>1009</v>
      </c>
      <c r="H34" s="39" t="s">
        <v>1017</v>
      </c>
      <c r="I34" s="40">
        <v>1301080018</v>
      </c>
    </row>
    <row r="35" spans="1:9" x14ac:dyDescent="0.25">
      <c r="A35" s="33" t="s">
        <v>429</v>
      </c>
      <c r="B35" t="s">
        <v>430</v>
      </c>
      <c r="C35" s="34">
        <f>IFERROR(INDEX('Kyriba PET Upload'!$B:$B,MATCH(A35,'Kyriba PET Upload'!$A:$A,0)),"")</f>
        <v>0</v>
      </c>
      <c r="D35" s="38" t="s">
        <v>1003</v>
      </c>
      <c r="E35" s="39">
        <v>2905010001</v>
      </c>
      <c r="F35" s="40" t="s">
        <v>1018</v>
      </c>
      <c r="G35" s="38" t="s">
        <v>996</v>
      </c>
      <c r="H35" s="39" t="s">
        <v>1017</v>
      </c>
      <c r="I35" s="40">
        <v>1301080019</v>
      </c>
    </row>
    <row r="36" spans="1:9" x14ac:dyDescent="0.25">
      <c r="A36" s="33" t="s">
        <v>413</v>
      </c>
      <c r="B36" t="s">
        <v>414</v>
      </c>
      <c r="C36" s="34">
        <f>IFERROR(INDEX('Kyriba PET Upload'!$B:$B,MATCH(A36,'Kyriba PET Upload'!$A:$A,0)),"")</f>
        <v>0</v>
      </c>
      <c r="D36" s="38" t="s">
        <v>1003</v>
      </c>
      <c r="E36" s="39">
        <v>2905028018</v>
      </c>
      <c r="F36" s="40" t="s">
        <v>1018</v>
      </c>
      <c r="G36" s="38" t="s">
        <v>1002</v>
      </c>
      <c r="H36" s="39" t="s">
        <v>1019</v>
      </c>
      <c r="I36" s="40">
        <v>1301080019</v>
      </c>
    </row>
    <row r="37" spans="1:9" x14ac:dyDescent="0.25">
      <c r="A37" s="33" t="s">
        <v>444</v>
      </c>
      <c r="B37" t="s">
        <v>445</v>
      </c>
      <c r="C37" s="34">
        <f>IFERROR(INDEX('Kyriba PET Upload'!$B:$B,MATCH(A37,'Kyriba PET Upload'!$A:$A,0)),"")</f>
        <v>0</v>
      </c>
      <c r="D37" s="38" t="s">
        <v>1003</v>
      </c>
      <c r="E37" s="39">
        <v>2905028014</v>
      </c>
      <c r="F37" s="40" t="s">
        <v>1018</v>
      </c>
      <c r="G37" s="38" t="s">
        <v>1009</v>
      </c>
      <c r="H37" s="39" t="s">
        <v>1017</v>
      </c>
      <c r="I37" s="40">
        <v>1301080019</v>
      </c>
    </row>
    <row r="38" spans="1:9" x14ac:dyDescent="0.25">
      <c r="A38" s="33" t="s">
        <v>434</v>
      </c>
      <c r="B38" t="s">
        <v>435</v>
      </c>
      <c r="C38" s="34">
        <f>IFERROR(INDEX('Kyriba PET Upload'!$B:$B,MATCH(A38,'Kyriba PET Upload'!$A:$A,0)),"")</f>
        <v>0</v>
      </c>
      <c r="D38" s="38" t="s">
        <v>1004</v>
      </c>
      <c r="E38" s="39">
        <v>2905010001</v>
      </c>
      <c r="F38" s="40" t="s">
        <v>1015</v>
      </c>
      <c r="G38" s="38" t="s">
        <v>996</v>
      </c>
      <c r="H38" s="39" t="s">
        <v>1017</v>
      </c>
      <c r="I38" s="40">
        <v>1301080025</v>
      </c>
    </row>
    <row r="39" spans="1:9" x14ac:dyDescent="0.25">
      <c r="A39" s="33" t="s">
        <v>453</v>
      </c>
      <c r="B39" t="s">
        <v>454</v>
      </c>
      <c r="C39" s="34">
        <f>IFERROR(INDEX('Kyriba PET Upload'!$B:$B,MATCH(A39,'Kyriba PET Upload'!$A:$A,0)),"")</f>
        <v>0</v>
      </c>
      <c r="D39" s="38" t="s">
        <v>1004</v>
      </c>
      <c r="E39" s="39">
        <v>2905028014</v>
      </c>
      <c r="F39" s="40" t="s">
        <v>1015</v>
      </c>
      <c r="G39" s="38" t="s">
        <v>1009</v>
      </c>
      <c r="H39" s="39" t="s">
        <v>1017</v>
      </c>
      <c r="I39" s="40">
        <v>1301080025</v>
      </c>
    </row>
    <row r="40" spans="1:9" x14ac:dyDescent="0.25">
      <c r="A40" s="33" t="s">
        <v>304</v>
      </c>
      <c r="B40" t="s">
        <v>305</v>
      </c>
      <c r="C40" s="34">
        <f>IFERROR(INDEX('Kyriba PET Upload'!$B:$B,MATCH(A40,'Kyriba PET Upload'!$A:$A,0)),"")</f>
        <v>0</v>
      </c>
      <c r="D40" s="38" t="s">
        <v>1005</v>
      </c>
      <c r="E40" s="39">
        <v>2905010001</v>
      </c>
      <c r="F40" s="40" t="s">
        <v>1016</v>
      </c>
      <c r="G40" s="38" t="s">
        <v>996</v>
      </c>
      <c r="H40" s="39" t="s">
        <v>1017</v>
      </c>
      <c r="I40" s="40">
        <v>1301080037</v>
      </c>
    </row>
    <row r="41" spans="1:9" x14ac:dyDescent="0.25">
      <c r="A41" s="33" t="s">
        <v>385</v>
      </c>
      <c r="B41" t="s">
        <v>386</v>
      </c>
      <c r="C41" s="34">
        <f>IFERROR(INDEX('Kyriba PET Upload'!$B:$B,MATCH(A41,'Kyriba PET Upload'!$A:$A,0)),"")</f>
        <v>0</v>
      </c>
      <c r="D41" s="38" t="s">
        <v>1005</v>
      </c>
      <c r="E41" s="39">
        <v>2905028014</v>
      </c>
      <c r="F41" s="40" t="s">
        <v>1016</v>
      </c>
      <c r="G41" s="38" t="s">
        <v>1009</v>
      </c>
      <c r="H41" s="39" t="s">
        <v>1017</v>
      </c>
      <c r="I41" s="40">
        <v>1301080037</v>
      </c>
    </row>
    <row r="42" spans="1:9" x14ac:dyDescent="0.25">
      <c r="A42" s="33" t="s">
        <v>250</v>
      </c>
      <c r="B42" t="s">
        <v>251</v>
      </c>
      <c r="C42" s="34">
        <f>IFERROR(INDEX('Kyriba PET Upload'!$B:$B,MATCH(A42,'Kyriba PET Upload'!$A:$A,0)),"")</f>
        <v>0</v>
      </c>
      <c r="D42" s="38" t="s">
        <v>1020</v>
      </c>
      <c r="E42" s="39" t="s">
        <v>1021</v>
      </c>
      <c r="F42" s="40" t="s">
        <v>1015</v>
      </c>
      <c r="G42" s="38" t="s">
        <v>996</v>
      </c>
      <c r="H42" s="39" t="s">
        <v>1017</v>
      </c>
      <c r="I42" s="40" t="s">
        <v>1022</v>
      </c>
    </row>
    <row r="43" spans="1:9" x14ac:dyDescent="0.25">
      <c r="A43" s="33" t="s">
        <v>332</v>
      </c>
      <c r="B43" t="s">
        <v>333</v>
      </c>
      <c r="C43" s="34">
        <f>IFERROR(INDEX('Kyriba PET Upload'!$B:$B,MATCH(A43,'Kyriba PET Upload'!$A:$A,0)),"")</f>
        <v>0</v>
      </c>
      <c r="D43" s="38" t="s">
        <v>1020</v>
      </c>
      <c r="E43" s="39">
        <v>2905028014</v>
      </c>
      <c r="F43" s="40" t="s">
        <v>1015</v>
      </c>
      <c r="G43" s="38" t="s">
        <v>1009</v>
      </c>
      <c r="H43" s="39" t="s">
        <v>1017</v>
      </c>
      <c r="I43" s="40">
        <v>1301080026</v>
      </c>
    </row>
    <row r="44" spans="1:9" x14ac:dyDescent="0.25">
      <c r="A44" s="33" t="s">
        <v>255</v>
      </c>
      <c r="B44" t="s">
        <v>256</v>
      </c>
      <c r="C44" s="34">
        <f>IFERROR(INDEX('Kyriba PET Upload'!$B:$B,MATCH(A44,'Kyriba PET Upload'!$A:$A,0)),"")</f>
        <v>9701.39</v>
      </c>
      <c r="D44" s="38" t="s">
        <v>1023</v>
      </c>
      <c r="E44" s="39" t="s">
        <v>1021</v>
      </c>
      <c r="F44" s="40" t="s">
        <v>1015</v>
      </c>
      <c r="G44" s="38" t="s">
        <v>996</v>
      </c>
      <c r="H44" s="39" t="s">
        <v>1017</v>
      </c>
      <c r="I44" s="40" t="s">
        <v>1024</v>
      </c>
    </row>
    <row r="45" spans="1:9" x14ac:dyDescent="0.25">
      <c r="A45" s="33" t="s">
        <v>342</v>
      </c>
      <c r="B45" t="s">
        <v>343</v>
      </c>
      <c r="C45" s="34">
        <f>IFERROR(INDEX('Kyriba PET Upload'!$B:$B,MATCH(A45,'Kyriba PET Upload'!$A:$A,0)),"")</f>
        <v>63155.9</v>
      </c>
      <c r="D45" s="38" t="s">
        <v>1023</v>
      </c>
      <c r="E45" s="39">
        <v>2905028014</v>
      </c>
      <c r="F45" s="40" t="s">
        <v>1015</v>
      </c>
      <c r="G45" s="38" t="s">
        <v>1009</v>
      </c>
      <c r="H45" s="39" t="s">
        <v>1017</v>
      </c>
      <c r="I45" s="40">
        <v>1301080029</v>
      </c>
    </row>
    <row r="46" spans="1:9" x14ac:dyDescent="0.25">
      <c r="A46" s="33" t="s">
        <v>241</v>
      </c>
      <c r="B46" t="s">
        <v>242</v>
      </c>
      <c r="C46" s="34">
        <f>IFERROR(INDEX('Kyriba PET Upload'!$B:$B,MATCH(A46,'Kyriba PET Upload'!$A:$A,0)),"")</f>
        <v>0</v>
      </c>
      <c r="D46" s="38" t="s">
        <v>1007</v>
      </c>
      <c r="E46" s="39" t="s">
        <v>1021</v>
      </c>
      <c r="F46" s="40" t="s">
        <v>1015</v>
      </c>
      <c r="G46" s="38" t="s">
        <v>996</v>
      </c>
      <c r="H46" s="39" t="s">
        <v>1017</v>
      </c>
      <c r="I46" s="40" t="s">
        <v>1025</v>
      </c>
    </row>
    <row r="47" spans="1:9" x14ac:dyDescent="0.25">
      <c r="A47" s="33" t="s">
        <v>245</v>
      </c>
      <c r="B47" t="s">
        <v>246</v>
      </c>
      <c r="C47" s="34">
        <f>IFERROR(INDEX('Kyriba PET Upload'!$B:$B,MATCH(A47,'Kyriba PET Upload'!$A:$A,0)),"")</f>
        <v>0</v>
      </c>
      <c r="D47" s="38" t="s">
        <v>1007</v>
      </c>
      <c r="E47" s="39" t="s">
        <v>1026</v>
      </c>
      <c r="F47" s="40" t="s">
        <v>1015</v>
      </c>
      <c r="G47" s="38" t="s">
        <v>1002</v>
      </c>
      <c r="H47" s="39" t="s">
        <v>1019</v>
      </c>
      <c r="I47" s="40" t="s">
        <v>1025</v>
      </c>
    </row>
    <row r="48" spans="1:9" x14ac:dyDescent="0.25">
      <c r="A48" s="33" t="s">
        <v>264</v>
      </c>
      <c r="B48" t="s">
        <v>265</v>
      </c>
      <c r="C48" s="34">
        <f>IFERROR(INDEX('Kyriba PET Upload'!$B:$B,MATCH(A48,'Kyriba PET Upload'!$A:$A,0)),"")</f>
        <v>860.95</v>
      </c>
      <c r="D48" s="38" t="s">
        <v>1007</v>
      </c>
      <c r="E48" s="39" t="s">
        <v>1027</v>
      </c>
      <c r="F48" s="40" t="s">
        <v>1015</v>
      </c>
      <c r="G48" s="38" t="s">
        <v>1009</v>
      </c>
      <c r="H48" s="39" t="s">
        <v>1017</v>
      </c>
      <c r="I48" s="40" t="s">
        <v>1025</v>
      </c>
    </row>
    <row r="49" spans="1:9" x14ac:dyDescent="0.25">
      <c r="A49" s="33" t="s">
        <v>289</v>
      </c>
      <c r="B49" t="s">
        <v>290</v>
      </c>
      <c r="C49" s="34">
        <f>IFERROR(INDEX('Kyriba PET Upload'!$B:$B,MATCH(A49,'Kyriba PET Upload'!$A:$A,0)),"")</f>
        <v>0</v>
      </c>
      <c r="D49" s="38" t="s">
        <v>1007</v>
      </c>
      <c r="E49" s="39">
        <v>2905028001</v>
      </c>
      <c r="F49" s="40" t="s">
        <v>1015</v>
      </c>
      <c r="G49" s="38" t="s">
        <v>1010</v>
      </c>
      <c r="H49" s="39" t="s">
        <v>1017</v>
      </c>
      <c r="I49" s="40">
        <v>1301080030</v>
      </c>
    </row>
    <row r="50" spans="1:9" x14ac:dyDescent="0.25">
      <c r="A50" s="33" t="s">
        <v>69</v>
      </c>
      <c r="B50" t="s">
        <v>70</v>
      </c>
      <c r="C50" s="34">
        <f>IFERROR(INDEX('Kyriba PET Upload'!$B:$B,MATCH(A50,'Kyriba PET Upload'!$A:$A,0)),"")</f>
        <v>6577032.3300000001</v>
      </c>
      <c r="D50" s="38" t="s">
        <v>1009</v>
      </c>
      <c r="E50" s="39">
        <v>2905010001</v>
      </c>
      <c r="F50" s="40" t="s">
        <v>1015</v>
      </c>
      <c r="G50" s="38" t="s">
        <v>996</v>
      </c>
      <c r="H50" s="39" t="s">
        <v>1017</v>
      </c>
      <c r="I50" s="40">
        <v>1301080020</v>
      </c>
    </row>
    <row r="51" spans="1:9" x14ac:dyDescent="0.25">
      <c r="A51" s="33" t="s">
        <v>101</v>
      </c>
      <c r="B51" t="s">
        <v>102</v>
      </c>
      <c r="C51" s="34">
        <f>IFERROR(INDEX('Kyriba PET Upload'!$B:$B,MATCH(A51,'Kyriba PET Upload'!$A:$A,0)),"")</f>
        <v>201.8</v>
      </c>
      <c r="D51" s="38" t="s">
        <v>1009</v>
      </c>
      <c r="E51" s="39">
        <v>2905024001</v>
      </c>
      <c r="F51" s="40" t="s">
        <v>1015</v>
      </c>
      <c r="G51" s="38" t="s">
        <v>997</v>
      </c>
      <c r="H51" s="39" t="s">
        <v>1028</v>
      </c>
      <c r="I51" s="40">
        <v>1301080020</v>
      </c>
    </row>
    <row r="52" spans="1:9" x14ac:dyDescent="0.25">
      <c r="A52" s="33" t="s">
        <v>109</v>
      </c>
      <c r="B52" t="s">
        <v>110</v>
      </c>
      <c r="C52" s="34">
        <f>IFERROR(INDEX('Kyriba PET Upload'!$B:$B,MATCH(A52,'Kyriba PET Upload'!$A:$A,0)),"")</f>
        <v>260.97000000000003</v>
      </c>
      <c r="D52" s="38" t="s">
        <v>1009</v>
      </c>
      <c r="E52" s="39">
        <v>2905028016</v>
      </c>
      <c r="F52" s="40" t="s">
        <v>1015</v>
      </c>
      <c r="G52" s="38" t="s">
        <v>998</v>
      </c>
      <c r="H52" s="39" t="s">
        <v>1017</v>
      </c>
      <c r="I52" s="40">
        <v>1301080020</v>
      </c>
    </row>
    <row r="53" spans="1:9" x14ac:dyDescent="0.25">
      <c r="A53" s="33" t="s">
        <v>118</v>
      </c>
      <c r="B53" t="s">
        <v>119</v>
      </c>
      <c r="C53" s="34">
        <f>IFERROR(INDEX('Kyriba PET Upload'!$B:$B,MATCH(A53,'Kyriba PET Upload'!$A:$A,0)),"")</f>
        <v>0</v>
      </c>
      <c r="D53" s="38" t="s">
        <v>1009</v>
      </c>
      <c r="E53" s="39">
        <v>2905028003</v>
      </c>
      <c r="F53" s="40" t="s">
        <v>1015</v>
      </c>
      <c r="G53" s="38" t="s">
        <v>999</v>
      </c>
      <c r="H53" s="39" t="s">
        <v>1028</v>
      </c>
      <c r="I53" s="40">
        <v>1301080020</v>
      </c>
    </row>
    <row r="54" spans="1:9" x14ac:dyDescent="0.25">
      <c r="A54" s="33" t="s">
        <v>207</v>
      </c>
      <c r="B54" t="s">
        <v>208</v>
      </c>
      <c r="C54" s="34">
        <f>IFERROR(INDEX('Kyriba PET Upload'!$B:$B,MATCH(A54,'Kyriba PET Upload'!$A:$A,0)),"")</f>
        <v>0</v>
      </c>
      <c r="D54" s="38" t="s">
        <v>1009</v>
      </c>
      <c r="E54" s="39">
        <v>2905028006</v>
      </c>
      <c r="F54" s="40" t="s">
        <v>1015</v>
      </c>
      <c r="G54" s="38" t="s">
        <v>1000</v>
      </c>
      <c r="H54" s="39" t="s">
        <v>1029</v>
      </c>
      <c r="I54" s="40">
        <v>1301080020</v>
      </c>
    </row>
    <row r="55" spans="1:9" x14ac:dyDescent="0.25">
      <c r="A55" s="33" t="s">
        <v>197</v>
      </c>
      <c r="B55" t="s">
        <v>198</v>
      </c>
      <c r="C55" s="34">
        <f>IFERROR(INDEX('Kyriba PET Upload'!$B:$B,MATCH(A55,'Kyriba PET Upload'!$A:$A,0)),"")</f>
        <v>0</v>
      </c>
      <c r="D55" s="38" t="s">
        <v>1009</v>
      </c>
      <c r="E55" s="39">
        <v>2905028018</v>
      </c>
      <c r="F55" s="40" t="s">
        <v>1015</v>
      </c>
      <c r="G55" s="38" t="s">
        <v>1002</v>
      </c>
      <c r="H55" s="39" t="s">
        <v>1019</v>
      </c>
      <c r="I55" s="40">
        <v>1301080020</v>
      </c>
    </row>
    <row r="56" spans="1:9" x14ac:dyDescent="0.25">
      <c r="A56" s="33" t="s">
        <v>449</v>
      </c>
      <c r="B56" t="s">
        <v>450</v>
      </c>
      <c r="C56" s="34">
        <f>IFERROR(INDEX('Kyriba PET Upload'!$B:$B,MATCH(A56,'Kyriba PET Upload'!$A:$A,0)),"")</f>
        <v>0</v>
      </c>
      <c r="D56" s="38" t="s">
        <v>1009</v>
      </c>
      <c r="E56" s="39">
        <v>2905028013</v>
      </c>
      <c r="F56" s="40" t="s">
        <v>1015</v>
      </c>
      <c r="G56" s="38" t="s">
        <v>1003</v>
      </c>
      <c r="H56" s="39" t="s">
        <v>1019</v>
      </c>
      <c r="I56" s="40">
        <v>1301080020</v>
      </c>
    </row>
    <row r="57" spans="1:9" x14ac:dyDescent="0.25">
      <c r="A57" s="33" t="s">
        <v>457</v>
      </c>
      <c r="B57" t="s">
        <v>458</v>
      </c>
      <c r="C57" s="34">
        <f>IFERROR(INDEX('Kyriba PET Upload'!$B:$B,MATCH(A57,'Kyriba PET Upload'!$A:$A,0)),"")</f>
        <v>0</v>
      </c>
      <c r="D57" s="38" t="s">
        <v>1009</v>
      </c>
      <c r="E57" s="39">
        <v>2905028020</v>
      </c>
      <c r="F57" s="40" t="s">
        <v>1015</v>
      </c>
      <c r="G57" s="38" t="s">
        <v>1004</v>
      </c>
      <c r="H57" s="39" t="s">
        <v>1017</v>
      </c>
      <c r="I57" s="40">
        <v>1301080020</v>
      </c>
    </row>
    <row r="58" spans="1:9" x14ac:dyDescent="0.25">
      <c r="A58" s="33" t="s">
        <v>389</v>
      </c>
      <c r="B58" t="s">
        <v>390</v>
      </c>
      <c r="C58" s="34">
        <f>IFERROR(INDEX('Kyriba PET Upload'!$B:$B,MATCH(A58,'Kyriba PET Upload'!$A:$A,0)),"")</f>
        <v>0</v>
      </c>
      <c r="D58" s="38" t="s">
        <v>1009</v>
      </c>
      <c r="E58" s="39">
        <v>2905028032</v>
      </c>
      <c r="F58" s="40" t="s">
        <v>1015</v>
      </c>
      <c r="G58" s="38" t="s">
        <v>1005</v>
      </c>
      <c r="H58" s="39" t="s">
        <v>1028</v>
      </c>
      <c r="I58" s="40">
        <v>1301080020</v>
      </c>
    </row>
    <row r="59" spans="1:9" x14ac:dyDescent="0.25">
      <c r="A59" s="33" t="s">
        <v>337</v>
      </c>
      <c r="B59" t="s">
        <v>338</v>
      </c>
      <c r="C59" s="34">
        <f>IFERROR(INDEX('Kyriba PET Upload'!$B:$B,MATCH(A59,'Kyriba PET Upload'!$A:$A,0)),"")</f>
        <v>0</v>
      </c>
      <c r="D59" s="38" t="s">
        <v>1009</v>
      </c>
      <c r="E59" s="39">
        <v>2905028021</v>
      </c>
      <c r="F59" s="40" t="s">
        <v>1015</v>
      </c>
      <c r="G59" s="38" t="s">
        <v>1020</v>
      </c>
      <c r="H59" s="39" t="s">
        <v>1017</v>
      </c>
      <c r="I59" s="40">
        <v>1301080020</v>
      </c>
    </row>
    <row r="60" spans="1:9" x14ac:dyDescent="0.25">
      <c r="A60" s="33" t="s">
        <v>347</v>
      </c>
      <c r="B60" t="s">
        <v>348</v>
      </c>
      <c r="C60" s="34">
        <f>IFERROR(INDEX('Kyriba PET Upload'!$B:$B,MATCH(A60,'Kyriba PET Upload'!$A:$A,0)),"")</f>
        <v>9.44</v>
      </c>
      <c r="D60" s="38" t="s">
        <v>1009</v>
      </c>
      <c r="E60" s="39">
        <v>2905028024</v>
      </c>
      <c r="F60" s="40" t="s">
        <v>1015</v>
      </c>
      <c r="G60" s="38" t="s">
        <v>1023</v>
      </c>
      <c r="H60" s="39" t="s">
        <v>1017</v>
      </c>
      <c r="I60" s="40">
        <v>1301080020</v>
      </c>
    </row>
    <row r="61" spans="1:9" x14ac:dyDescent="0.25">
      <c r="A61" s="33" t="s">
        <v>260</v>
      </c>
      <c r="B61" t="s">
        <v>261</v>
      </c>
      <c r="C61" s="34">
        <f>IFERROR(INDEX('Kyriba PET Upload'!$B:$B,MATCH(A61,'Kyriba PET Upload'!$A:$A,0)),"")</f>
        <v>0</v>
      </c>
      <c r="D61" s="38" t="s">
        <v>1009</v>
      </c>
      <c r="E61" s="39" t="s">
        <v>1006</v>
      </c>
      <c r="F61" s="40" t="s">
        <v>1015</v>
      </c>
      <c r="G61" s="38" t="s">
        <v>1007</v>
      </c>
      <c r="H61" s="39" t="s">
        <v>1017</v>
      </c>
      <c r="I61" s="40" t="s">
        <v>1030</v>
      </c>
    </row>
    <row r="62" spans="1:9" x14ac:dyDescent="0.25">
      <c r="A62" s="33" t="s">
        <v>167</v>
      </c>
      <c r="B62" t="s">
        <v>168</v>
      </c>
      <c r="C62" s="34">
        <f>IFERROR(INDEX('Kyriba PET Upload'!$B:$B,MATCH(A62,'Kyriba PET Upload'!$A:$A,0)),"")</f>
        <v>1722144.86</v>
      </c>
      <c r="D62" s="38" t="s">
        <v>1009</v>
      </c>
      <c r="E62" s="39">
        <v>2905022005</v>
      </c>
      <c r="F62" s="40" t="s">
        <v>1015</v>
      </c>
      <c r="G62" s="38" t="s">
        <v>1008</v>
      </c>
      <c r="H62" s="39" t="s">
        <v>1017</v>
      </c>
      <c r="I62" s="40">
        <v>1301080020</v>
      </c>
    </row>
    <row r="63" spans="1:9" x14ac:dyDescent="0.25">
      <c r="A63" s="33" t="s">
        <v>179</v>
      </c>
      <c r="B63" t="s">
        <v>180</v>
      </c>
      <c r="C63" s="34">
        <f>IFERROR(INDEX('Kyriba PET Upload'!$B:$B,MATCH(A63,'Kyriba PET Upload'!$A:$A,0)),"")</f>
        <v>2058899.04</v>
      </c>
      <c r="D63" s="38" t="s">
        <v>1009</v>
      </c>
      <c r="E63" s="39">
        <v>2905028001</v>
      </c>
      <c r="F63" s="40" t="s">
        <v>1015</v>
      </c>
      <c r="G63" s="38" t="s">
        <v>1010</v>
      </c>
      <c r="H63" s="39" t="s">
        <v>1017</v>
      </c>
      <c r="I63" s="40">
        <v>1301080020</v>
      </c>
    </row>
    <row r="64" spans="1:9" x14ac:dyDescent="0.25">
      <c r="A64" s="33" t="s">
        <v>327</v>
      </c>
      <c r="B64" t="s">
        <v>328</v>
      </c>
      <c r="C64" s="34">
        <f>IFERROR(INDEX('Kyriba PET Upload'!$B:$B,MATCH(A64,'Kyriba PET Upload'!$A:$A,0)),"")</f>
        <v>0</v>
      </c>
      <c r="D64" s="38" t="s">
        <v>1009</v>
      </c>
      <c r="E64" s="39">
        <v>2905028035</v>
      </c>
      <c r="F64" s="40" t="s">
        <v>1015</v>
      </c>
      <c r="G64" s="38" t="s">
        <v>1011</v>
      </c>
      <c r="H64" s="39" t="s">
        <v>1017</v>
      </c>
      <c r="I64" s="40">
        <v>1301080020</v>
      </c>
    </row>
    <row r="65" spans="1:9" x14ac:dyDescent="0.25">
      <c r="A65" s="33" t="s">
        <v>227</v>
      </c>
      <c r="B65" t="s">
        <v>228</v>
      </c>
      <c r="C65" s="34">
        <f>IFERROR(INDEX('Kyriba PET Upload'!$B:$B,MATCH(A65,'Kyriba PET Upload'!$A:$A,0)),"")</f>
        <v>521915</v>
      </c>
      <c r="D65" s="38" t="s">
        <v>1009</v>
      </c>
      <c r="E65" s="39">
        <v>2905028015</v>
      </c>
      <c r="F65" s="40" t="s">
        <v>1015</v>
      </c>
      <c r="G65" s="38" t="s">
        <v>1012</v>
      </c>
      <c r="H65" s="39" t="s">
        <v>1017</v>
      </c>
      <c r="I65" s="40">
        <v>1301080020</v>
      </c>
    </row>
    <row r="66" spans="1:9" x14ac:dyDescent="0.25">
      <c r="A66" s="33" t="s">
        <v>218</v>
      </c>
      <c r="B66" t="s">
        <v>219</v>
      </c>
      <c r="C66" s="34">
        <f>IFERROR(INDEX('Kyriba PET Upload'!$B:$B,MATCH(A66,'Kyriba PET Upload'!$A:$A,0)),"")</f>
        <v>0</v>
      </c>
      <c r="D66" s="38" t="s">
        <v>1009</v>
      </c>
      <c r="E66" s="39">
        <v>2905028028</v>
      </c>
      <c r="F66" s="40" t="s">
        <v>1015</v>
      </c>
      <c r="G66" s="38" t="s">
        <v>1013</v>
      </c>
      <c r="H66" s="39" t="s">
        <v>1031</v>
      </c>
      <c r="I66" s="40">
        <v>1301080020</v>
      </c>
    </row>
    <row r="67" spans="1:9" x14ac:dyDescent="0.25">
      <c r="A67" s="33" t="s">
        <v>89</v>
      </c>
      <c r="B67" t="s">
        <v>90</v>
      </c>
      <c r="C67" s="34">
        <f>IFERROR(INDEX('Kyriba PET Upload'!$B:$B,MATCH(A67,'Kyriba PET Upload'!$A:$A,0)),"")</f>
        <v>145362</v>
      </c>
      <c r="D67" s="38" t="s">
        <v>1012</v>
      </c>
      <c r="E67" s="39">
        <v>2905010001</v>
      </c>
      <c r="F67" s="40" t="s">
        <v>1015</v>
      </c>
      <c r="G67" s="38" t="s">
        <v>996</v>
      </c>
      <c r="H67" s="39">
        <v>1202690531</v>
      </c>
      <c r="I67" s="40">
        <v>1301080021</v>
      </c>
    </row>
    <row r="68" spans="1:9" x14ac:dyDescent="0.25">
      <c r="A68" s="33" t="s">
        <v>365</v>
      </c>
      <c r="B68" t="s">
        <v>366</v>
      </c>
      <c r="C68" s="34">
        <f>IFERROR(INDEX('Kyriba PET Upload'!$B:$B,MATCH(A68,'Kyriba PET Upload'!$A:$A,0)),"")</f>
        <v>0</v>
      </c>
      <c r="D68" s="38" t="s">
        <v>1012</v>
      </c>
      <c r="E68" s="39">
        <v>2905028016</v>
      </c>
      <c r="F68" s="40" t="s">
        <v>1015</v>
      </c>
      <c r="G68" s="38" t="s">
        <v>998</v>
      </c>
      <c r="H68" s="39">
        <v>1202690531</v>
      </c>
      <c r="I68" s="40">
        <v>1301080021</v>
      </c>
    </row>
    <row r="69" spans="1:9" x14ac:dyDescent="0.25">
      <c r="A69" s="33" t="s">
        <v>281</v>
      </c>
      <c r="B69" t="s">
        <v>282</v>
      </c>
      <c r="C69" s="34">
        <f>IFERROR(INDEX('Kyriba PET Upload'!$B:$B,MATCH(A69,'Kyriba PET Upload'!$A:$A,0)),"")</f>
        <v>0</v>
      </c>
      <c r="D69" s="38" t="s">
        <v>1012</v>
      </c>
      <c r="E69" s="39">
        <v>2905022005</v>
      </c>
      <c r="F69" s="40" t="s">
        <v>1015</v>
      </c>
      <c r="G69" s="38" t="s">
        <v>1008</v>
      </c>
      <c r="H69" s="39">
        <v>1202690531</v>
      </c>
      <c r="I69" s="40">
        <v>1301080021</v>
      </c>
    </row>
    <row r="70" spans="1:9" x14ac:dyDescent="0.25">
      <c r="A70" s="33" t="s">
        <v>231</v>
      </c>
      <c r="B70" t="s">
        <v>232</v>
      </c>
      <c r="C70" s="34">
        <f>IFERROR(INDEX('Kyriba PET Upload'!$B:$B,MATCH(A70,'Kyriba PET Upload'!$A:$A,0)),"")</f>
        <v>1196928.8400000001</v>
      </c>
      <c r="D70" s="38" t="s">
        <v>1012</v>
      </c>
      <c r="E70" s="39">
        <v>2905028014</v>
      </c>
      <c r="F70" s="40" t="s">
        <v>1015</v>
      </c>
      <c r="G70" s="38" t="s">
        <v>1009</v>
      </c>
      <c r="H70" s="39">
        <v>1202690531</v>
      </c>
      <c r="I70" s="40">
        <v>1301080021</v>
      </c>
    </row>
    <row r="71" spans="1:9" x14ac:dyDescent="0.25">
      <c r="A71" s="33" t="s">
        <v>393</v>
      </c>
      <c r="B71" t="s">
        <v>394</v>
      </c>
      <c r="C71" s="34">
        <f>IFERROR(INDEX('Kyriba PET Upload'!$B:$B,MATCH(A71,'Kyriba PET Upload'!$A:$A,0)),"")</f>
        <v>529192.75</v>
      </c>
      <c r="D71" s="38" t="s">
        <v>1012</v>
      </c>
      <c r="E71" s="39">
        <v>2905028001</v>
      </c>
      <c r="F71" s="40" t="s">
        <v>1015</v>
      </c>
      <c r="G71" s="38" t="s">
        <v>1010</v>
      </c>
      <c r="H71" s="39">
        <v>1202690531</v>
      </c>
      <c r="I71" s="40">
        <v>1301080021</v>
      </c>
    </row>
    <row r="72" spans="1:9" x14ac:dyDescent="0.25">
      <c r="A72" s="33" t="s">
        <v>377</v>
      </c>
      <c r="B72" t="s">
        <v>378</v>
      </c>
      <c r="C72" s="34">
        <f>IFERROR(INDEX('Kyriba PET Upload'!$B:$B,MATCH(A72,'Kyriba PET Upload'!$A:$A,0)),"")</f>
        <v>0</v>
      </c>
      <c r="D72" s="38" t="s">
        <v>1012</v>
      </c>
      <c r="E72" s="39">
        <v>2905028028</v>
      </c>
      <c r="F72" s="40" t="s">
        <v>1015</v>
      </c>
      <c r="G72" s="38" t="s">
        <v>1013</v>
      </c>
      <c r="H72" s="39">
        <v>1202691251</v>
      </c>
      <c r="I72" s="40">
        <v>1301080021</v>
      </c>
    </row>
    <row r="73" spans="1:9" x14ac:dyDescent="0.25">
      <c r="A73" s="33" t="s">
        <v>272</v>
      </c>
      <c r="B73" t="s">
        <v>273</v>
      </c>
      <c r="C73" s="34">
        <f>IFERROR(INDEX('Kyriba PET Upload'!$B:$B,MATCH(A73,'Kyriba PET Upload'!$A:$A,0)),"")</f>
        <v>41244</v>
      </c>
      <c r="D73" s="38" t="s">
        <v>1013</v>
      </c>
      <c r="E73" s="39">
        <v>2905010001</v>
      </c>
      <c r="F73" s="40" t="s">
        <v>1032</v>
      </c>
      <c r="G73" s="38" t="s">
        <v>996</v>
      </c>
      <c r="H73" s="39">
        <v>1202690531</v>
      </c>
      <c r="I73" s="40">
        <v>1301080033</v>
      </c>
    </row>
    <row r="74" spans="1:9" x14ac:dyDescent="0.25">
      <c r="A74" s="33" t="s">
        <v>373</v>
      </c>
      <c r="B74" t="s">
        <v>374</v>
      </c>
      <c r="C74" s="34">
        <f>IFERROR(INDEX('Kyriba PET Upload'!$B:$B,MATCH(A74,'Kyriba PET Upload'!$A:$A,0)),"")</f>
        <v>0</v>
      </c>
      <c r="D74" s="38" t="s">
        <v>1013</v>
      </c>
      <c r="E74" s="39">
        <v>2905022005</v>
      </c>
      <c r="F74" s="40" t="s">
        <v>1032</v>
      </c>
      <c r="G74" s="38" t="s">
        <v>1008</v>
      </c>
      <c r="H74" s="39">
        <v>1202690531</v>
      </c>
      <c r="I74" s="40">
        <v>1301080033</v>
      </c>
    </row>
    <row r="75" spans="1:9" x14ac:dyDescent="0.25">
      <c r="A75" s="33" t="s">
        <v>223</v>
      </c>
      <c r="B75" t="s">
        <v>224</v>
      </c>
      <c r="C75" s="34">
        <f>IFERROR(INDEX('Kyriba PET Upload'!$B:$B,MATCH(A75,'Kyriba PET Upload'!$A:$A,0)),"")</f>
        <v>364249.41</v>
      </c>
      <c r="D75" s="38" t="s">
        <v>1013</v>
      </c>
      <c r="E75" s="39">
        <v>2905028014</v>
      </c>
      <c r="F75" s="40" t="s">
        <v>1032</v>
      </c>
      <c r="G75" s="38" t="s">
        <v>1009</v>
      </c>
      <c r="H75" s="39">
        <v>1202690531</v>
      </c>
      <c r="I75" s="40">
        <v>1301080033</v>
      </c>
    </row>
    <row r="76" spans="1:9" x14ac:dyDescent="0.25">
      <c r="A76" s="33" t="s">
        <v>381</v>
      </c>
      <c r="B76" t="s">
        <v>382</v>
      </c>
      <c r="C76" s="34">
        <f>IFERROR(INDEX('Kyriba PET Upload'!$B:$B,MATCH(A76,'Kyriba PET Upload'!$A:$A,0)),"")</f>
        <v>0</v>
      </c>
      <c r="D76" s="38" t="s">
        <v>1013</v>
      </c>
      <c r="E76" s="39">
        <v>2905028015</v>
      </c>
      <c r="F76" s="40" t="s">
        <v>1032</v>
      </c>
      <c r="G76" s="38" t="s">
        <v>1012</v>
      </c>
      <c r="H76" s="39" t="s">
        <v>1017</v>
      </c>
      <c r="I76" s="40">
        <v>1301080033</v>
      </c>
    </row>
    <row r="77" spans="1:9" x14ac:dyDescent="0.25">
      <c r="A77" s="33" t="s">
        <v>294</v>
      </c>
      <c r="B77" t="s">
        <v>295</v>
      </c>
      <c r="C77" s="34">
        <f>IFERROR(INDEX('Kyriba PET Upload'!$B:$B,MATCH(A77,'Kyriba PET Upload'!$A:$A,0)),"")</f>
        <v>19822.84</v>
      </c>
      <c r="D77" s="38" t="s">
        <v>1014</v>
      </c>
      <c r="E77" s="39">
        <v>2905010001</v>
      </c>
      <c r="F77" s="40" t="s">
        <v>1015</v>
      </c>
      <c r="G77" s="38" t="s">
        <v>996</v>
      </c>
      <c r="H77" s="39">
        <v>1202690531</v>
      </c>
      <c r="I77" s="40">
        <v>1301080041</v>
      </c>
    </row>
    <row r="78" spans="1:9" x14ac:dyDescent="0.25">
      <c r="A78" s="33" t="s">
        <v>355</v>
      </c>
      <c r="B78" t="s">
        <v>356</v>
      </c>
      <c r="C78" s="34">
        <f>IFERROR(INDEX('Kyriba PET Upload'!$B:$B,MATCH(A78,'Kyriba PET Upload'!$A:$A,0)),"")</f>
        <v>10026.69</v>
      </c>
      <c r="D78" s="38" t="s">
        <v>1014</v>
      </c>
      <c r="E78" s="39">
        <v>2905028016</v>
      </c>
      <c r="F78" s="40" t="s">
        <v>1015</v>
      </c>
      <c r="G78" s="38" t="s">
        <v>998</v>
      </c>
      <c r="H78" s="39" t="s">
        <v>1017</v>
      </c>
      <c r="I78" s="40">
        <v>1301080041</v>
      </c>
    </row>
    <row r="79" spans="1:9" x14ac:dyDescent="0.25">
      <c r="A79" s="33" t="s">
        <v>49</v>
      </c>
      <c r="B79" t="s">
        <v>50</v>
      </c>
      <c r="C79" s="34">
        <f>IFERROR(INDEX('Kyriba PET Upload'!$B:$B,MATCH(A79,'Kyriba PET Upload'!$A:$A,0)),"")</f>
        <v>0</v>
      </c>
      <c r="D79" s="38" t="s">
        <v>1000</v>
      </c>
      <c r="E79" s="39">
        <v>2905010001</v>
      </c>
      <c r="F79" s="40" t="s">
        <v>1033</v>
      </c>
      <c r="G79" s="38" t="s">
        <v>996</v>
      </c>
      <c r="H79" s="39">
        <v>1202690531</v>
      </c>
      <c r="I79" s="40">
        <v>1301110004</v>
      </c>
    </row>
    <row r="80" spans="1:9" x14ac:dyDescent="0.25">
      <c r="A80" s="33" t="s">
        <v>134</v>
      </c>
      <c r="B80" t="s">
        <v>135</v>
      </c>
      <c r="C80" s="34">
        <f>IFERROR(INDEX('Kyriba PET Upload'!$B:$B,MATCH(A80,'Kyriba PET Upload'!$A:$A,0)),"")</f>
        <v>3013.76</v>
      </c>
      <c r="D80" s="38" t="s">
        <v>1000</v>
      </c>
      <c r="E80" s="39">
        <v>2905022005</v>
      </c>
      <c r="F80" s="40" t="s">
        <v>1033</v>
      </c>
      <c r="G80" s="38" t="s">
        <v>1008</v>
      </c>
      <c r="H80" s="39">
        <v>1202690531</v>
      </c>
      <c r="I80" s="40">
        <v>1301110004</v>
      </c>
    </row>
    <row r="81" spans="1:9" x14ac:dyDescent="0.25">
      <c r="A81" s="33" t="s">
        <v>144</v>
      </c>
      <c r="B81" t="s">
        <v>145</v>
      </c>
      <c r="C81" s="34">
        <f>IFERROR(INDEX('Kyriba PET Upload'!$B:$B,MATCH(A81,'Kyriba PET Upload'!$A:$A,0)),"")</f>
        <v>0</v>
      </c>
      <c r="D81" s="38" t="s">
        <v>1000</v>
      </c>
      <c r="E81" s="39">
        <v>2905028019</v>
      </c>
      <c r="F81" s="40" t="s">
        <v>1033</v>
      </c>
      <c r="G81" s="38" t="s">
        <v>1008</v>
      </c>
      <c r="H81" s="39">
        <v>1202690531</v>
      </c>
      <c r="I81" s="40">
        <v>1301110009</v>
      </c>
    </row>
    <row r="82" spans="1:9" x14ac:dyDescent="0.25">
      <c r="A82" s="33" t="s">
        <v>213</v>
      </c>
      <c r="B82" t="s">
        <v>214</v>
      </c>
      <c r="C82" s="34">
        <f>IFERROR(INDEX('Kyriba PET Upload'!$B:$B,MATCH(A82,'Kyriba PET Upload'!$A:$A,0)),"")</f>
        <v>0</v>
      </c>
      <c r="D82" s="38" t="s">
        <v>1000</v>
      </c>
      <c r="E82" s="39">
        <v>2905028014</v>
      </c>
      <c r="F82" s="40" t="s">
        <v>1033</v>
      </c>
      <c r="G82" s="38" t="s">
        <v>1009</v>
      </c>
      <c r="H82" s="39">
        <v>1202690531</v>
      </c>
      <c r="I82" s="40">
        <v>1301110004</v>
      </c>
    </row>
    <row r="83" spans="1:9" x14ac:dyDescent="0.25">
      <c r="A83" s="33" t="s">
        <v>148</v>
      </c>
      <c r="B83" t="s">
        <v>149</v>
      </c>
      <c r="C83" s="34">
        <f>IFERROR(INDEX('Kyriba PET Upload'!$B:$B,MATCH(A83,'Kyriba PET Upload'!$A:$A,0)),"")</f>
        <v>0</v>
      </c>
      <c r="D83" s="38" t="s">
        <v>1000</v>
      </c>
      <c r="E83" s="39">
        <v>2905028001</v>
      </c>
      <c r="F83" s="40" t="s">
        <v>1033</v>
      </c>
      <c r="G83" s="38" t="s">
        <v>1010</v>
      </c>
      <c r="H83" s="39">
        <v>1202690531</v>
      </c>
      <c r="I83" s="40">
        <v>1301110004</v>
      </c>
    </row>
    <row r="84" spans="1:9" x14ac:dyDescent="0.25">
      <c r="A84" s="33" t="s">
        <v>155</v>
      </c>
      <c r="B84" t="s">
        <v>156</v>
      </c>
      <c r="C84" s="34">
        <f>IFERROR(INDEX('Kyriba PET Upload'!$B:$B,MATCH(A84,'Kyriba PET Upload'!$A:$A,0)),"")</f>
        <v>0</v>
      </c>
      <c r="D84" s="38" t="s">
        <v>1000</v>
      </c>
      <c r="E84" s="39">
        <v>2905028012</v>
      </c>
      <c r="F84" s="40" t="s">
        <v>1033</v>
      </c>
      <c r="G84" s="38" t="s">
        <v>1010</v>
      </c>
      <c r="H84" s="39">
        <v>1202690531</v>
      </c>
      <c r="I84" s="40">
        <v>1301110009</v>
      </c>
    </row>
    <row r="85" spans="1:9" x14ac:dyDescent="0.25">
      <c r="A85" s="33" t="s">
        <v>57</v>
      </c>
      <c r="B85" t="s">
        <v>58</v>
      </c>
      <c r="C85" s="34">
        <f>IFERROR(INDEX('Kyriba PET Upload'!$B:$B,MATCH(A85,'Kyriba PET Upload'!$A:$A,0)),"")</f>
        <v>191777.97</v>
      </c>
      <c r="D85" s="38" t="s">
        <v>1008</v>
      </c>
      <c r="E85" s="39">
        <v>2905010001</v>
      </c>
      <c r="F85" s="40" t="s">
        <v>1015</v>
      </c>
      <c r="G85" s="38" t="s">
        <v>996</v>
      </c>
      <c r="H85" s="39">
        <v>1202690531</v>
      </c>
      <c r="I85" s="40">
        <v>1301080003</v>
      </c>
    </row>
    <row r="86" spans="1:9" x14ac:dyDescent="0.25">
      <c r="A86" s="33" t="s">
        <v>159</v>
      </c>
      <c r="B86" t="s">
        <v>160</v>
      </c>
      <c r="C86" s="34">
        <f>IFERROR(INDEX('Kyriba PET Upload'!$B:$B,MATCH(A86,'Kyriba PET Upload'!$A:$A,0)),"")</f>
        <v>38287.9</v>
      </c>
      <c r="D86" s="38" t="s">
        <v>1008</v>
      </c>
      <c r="E86" s="39">
        <v>2905028016</v>
      </c>
      <c r="F86" s="40" t="s">
        <v>1015</v>
      </c>
      <c r="G86" s="38" t="s">
        <v>998</v>
      </c>
      <c r="H86" s="39" t="s">
        <v>1017</v>
      </c>
      <c r="I86" s="40">
        <v>1301080003</v>
      </c>
    </row>
    <row r="87" spans="1:9" x14ac:dyDescent="0.25">
      <c r="A87" s="33" t="s">
        <v>140</v>
      </c>
      <c r="B87" t="s">
        <v>141</v>
      </c>
      <c r="C87" s="34">
        <f>IFERROR(INDEX('Kyriba PET Upload'!$B:$B,MATCH(A87,'Kyriba PET Upload'!$A:$A,0)),"")</f>
        <v>0</v>
      </c>
      <c r="D87" s="38" t="s">
        <v>1008</v>
      </c>
      <c r="E87" s="39">
        <v>2905028006</v>
      </c>
      <c r="F87" s="40" t="s">
        <v>1015</v>
      </c>
      <c r="G87" s="38" t="s">
        <v>1000</v>
      </c>
      <c r="H87" s="39">
        <v>1202690531</v>
      </c>
      <c r="I87" s="40">
        <v>1301080003</v>
      </c>
    </row>
    <row r="88" spans="1:9" x14ac:dyDescent="0.25">
      <c r="A88" s="33" t="s">
        <v>163</v>
      </c>
      <c r="B88" t="s">
        <v>164</v>
      </c>
      <c r="C88" s="34">
        <f>IFERROR(INDEX('Kyriba PET Upload'!$B:$B,MATCH(A88,'Kyriba PET Upload'!$A:$A,0)),"")</f>
        <v>4840848.57</v>
      </c>
      <c r="D88" s="38" t="s">
        <v>1008</v>
      </c>
      <c r="E88" s="39">
        <v>2905028014</v>
      </c>
      <c r="F88" s="40" t="s">
        <v>1015</v>
      </c>
      <c r="G88" s="38" t="s">
        <v>1009</v>
      </c>
      <c r="H88" s="39">
        <v>1202690531</v>
      </c>
      <c r="I88" s="40">
        <v>1301080003</v>
      </c>
    </row>
    <row r="89" spans="1:9" x14ac:dyDescent="0.25">
      <c r="A89" s="33" t="s">
        <v>171</v>
      </c>
      <c r="B89" t="s">
        <v>172</v>
      </c>
      <c r="C89" s="34">
        <f>IFERROR(INDEX('Kyriba PET Upload'!$B:$B,MATCH(A89,'Kyriba PET Upload'!$A:$A,0)),"")</f>
        <v>44240.47</v>
      </c>
      <c r="D89" s="38" t="s">
        <v>1008</v>
      </c>
      <c r="E89" s="39">
        <v>2905028001</v>
      </c>
      <c r="F89" s="40" t="s">
        <v>1015</v>
      </c>
      <c r="G89" s="38" t="s">
        <v>1010</v>
      </c>
      <c r="H89" s="39">
        <v>1202690531</v>
      </c>
      <c r="I89" s="40">
        <v>1301080003</v>
      </c>
    </row>
    <row r="90" spans="1:9" x14ac:dyDescent="0.25">
      <c r="A90" s="33" t="s">
        <v>277</v>
      </c>
      <c r="B90" t="s">
        <v>278</v>
      </c>
      <c r="C90" s="34">
        <f>IFERROR(INDEX('Kyriba PET Upload'!$B:$B,MATCH(A90,'Kyriba PET Upload'!$A:$A,0)),"")</f>
        <v>18774</v>
      </c>
      <c r="D90" s="38" t="s">
        <v>1008</v>
      </c>
      <c r="E90" s="39">
        <v>2905028015</v>
      </c>
      <c r="F90" s="40" t="s">
        <v>1015</v>
      </c>
      <c r="G90" s="38" t="s">
        <v>1012</v>
      </c>
      <c r="H90" s="39">
        <v>1202690531</v>
      </c>
      <c r="I90" s="40">
        <v>1301080003</v>
      </c>
    </row>
    <row r="91" spans="1:9" x14ac:dyDescent="0.25">
      <c r="A91" s="33" t="s">
        <v>369</v>
      </c>
      <c r="B91" t="s">
        <v>370</v>
      </c>
      <c r="C91" s="34">
        <f>IFERROR(INDEX('Kyriba PET Upload'!$B:$B,MATCH(A91,'Kyriba PET Upload'!$A:$A,0)),"")</f>
        <v>0</v>
      </c>
      <c r="D91" s="38" t="s">
        <v>1008</v>
      </c>
      <c r="E91" s="39">
        <v>2905028028</v>
      </c>
      <c r="F91" s="40" t="s">
        <v>1015</v>
      </c>
      <c r="G91" s="38" t="s">
        <v>1013</v>
      </c>
      <c r="H91" s="39">
        <v>1202691251</v>
      </c>
      <c r="I91" s="40">
        <v>1301080003</v>
      </c>
    </row>
    <row r="92" spans="1:9" x14ac:dyDescent="0.25">
      <c r="A92" s="33" t="s">
        <v>79</v>
      </c>
      <c r="B92" t="s">
        <v>80</v>
      </c>
      <c r="C92" s="34">
        <f>IFERROR(INDEX('Kyriba PET Upload'!$B:$B,MATCH(A92,'Kyriba PET Upload'!$A:$A,0)),"")</f>
        <v>1211446</v>
      </c>
      <c r="D92" s="38" t="s">
        <v>1010</v>
      </c>
      <c r="E92" s="39">
        <v>2905010001</v>
      </c>
      <c r="F92" s="40" t="s">
        <v>1015</v>
      </c>
      <c r="G92" s="38" t="s">
        <v>996</v>
      </c>
      <c r="H92" s="39">
        <v>1202690531</v>
      </c>
      <c r="I92" s="40">
        <v>1301080004</v>
      </c>
    </row>
    <row r="93" spans="1:9" x14ac:dyDescent="0.25">
      <c r="A93" s="33" t="s">
        <v>187</v>
      </c>
      <c r="B93" t="s">
        <v>188</v>
      </c>
      <c r="C93" s="34">
        <f>IFERROR(INDEX('Kyriba PET Upload'!$B:$B,MATCH(A93,'Kyriba PET Upload'!$A:$A,0)),"")</f>
        <v>0</v>
      </c>
      <c r="D93" s="38" t="s">
        <v>1010</v>
      </c>
      <c r="E93" s="39">
        <v>2905028016</v>
      </c>
      <c r="F93" s="40" t="s">
        <v>1015</v>
      </c>
      <c r="G93" s="38" t="s">
        <v>998</v>
      </c>
      <c r="H93" s="39">
        <v>1202690531</v>
      </c>
      <c r="I93" s="40">
        <v>1301080004</v>
      </c>
    </row>
    <row r="94" spans="1:9" x14ac:dyDescent="0.25">
      <c r="A94" s="33" t="s">
        <v>128</v>
      </c>
      <c r="B94" t="s">
        <v>129</v>
      </c>
      <c r="C94" s="34">
        <f>IFERROR(INDEX('Kyriba PET Upload'!$B:$B,MATCH(A94,'Kyriba PET Upload'!$A:$A,0)),"")</f>
        <v>0</v>
      </c>
      <c r="D94" s="38" t="s">
        <v>1010</v>
      </c>
      <c r="E94" s="39">
        <v>2905028003</v>
      </c>
      <c r="F94" s="40" t="s">
        <v>1015</v>
      </c>
      <c r="G94" s="38" t="s">
        <v>999</v>
      </c>
      <c r="H94" s="39">
        <v>1202690531</v>
      </c>
      <c r="I94" s="40">
        <v>1301080004</v>
      </c>
    </row>
    <row r="95" spans="1:9" x14ac:dyDescent="0.25">
      <c r="A95" s="33" t="s">
        <v>152</v>
      </c>
      <c r="B95" t="s">
        <v>153</v>
      </c>
      <c r="C95" s="34">
        <f>IFERROR(INDEX('Kyriba PET Upload'!$B:$B,MATCH(A95,'Kyriba PET Upload'!$A:$A,0)),"")</f>
        <v>0</v>
      </c>
      <c r="D95" s="38" t="s">
        <v>1010</v>
      </c>
      <c r="E95" s="39">
        <v>2905028006</v>
      </c>
      <c r="F95" s="40" t="s">
        <v>1015</v>
      </c>
      <c r="G95" s="38" t="s">
        <v>1000</v>
      </c>
      <c r="H95" s="39">
        <v>1202690661</v>
      </c>
      <c r="I95" s="40">
        <v>1301080004</v>
      </c>
    </row>
    <row r="96" spans="1:9" x14ac:dyDescent="0.25">
      <c r="A96" s="33" t="s">
        <v>285</v>
      </c>
      <c r="B96" t="s">
        <v>286</v>
      </c>
      <c r="C96" s="34">
        <f>IFERROR(INDEX('Kyriba PET Upload'!$B:$B,MATCH(A96,'Kyriba PET Upload'!$A:$A,0)),"")</f>
        <v>0</v>
      </c>
      <c r="D96" s="38" t="s">
        <v>1010</v>
      </c>
      <c r="E96" s="39">
        <v>2905028025</v>
      </c>
      <c r="F96" s="40" t="s">
        <v>1015</v>
      </c>
      <c r="G96" s="38" t="s">
        <v>1007</v>
      </c>
      <c r="H96" s="39">
        <v>1202690531</v>
      </c>
      <c r="I96" s="40">
        <v>1301080004</v>
      </c>
    </row>
    <row r="97" spans="1:9" x14ac:dyDescent="0.25">
      <c r="A97" s="33" t="s">
        <v>175</v>
      </c>
      <c r="B97" t="s">
        <v>176</v>
      </c>
      <c r="C97" s="34">
        <f>IFERROR(INDEX('Kyriba PET Upload'!$B:$B,MATCH(A97,'Kyriba PET Upload'!$A:$A,0)),"")</f>
        <v>171804.95</v>
      </c>
      <c r="D97" s="38" t="s">
        <v>1010</v>
      </c>
      <c r="E97" s="39">
        <v>2905022005</v>
      </c>
      <c r="F97" s="40" t="s">
        <v>1015</v>
      </c>
      <c r="G97" s="38" t="s">
        <v>1008</v>
      </c>
      <c r="H97" s="39">
        <v>1202690531</v>
      </c>
      <c r="I97" s="40">
        <v>1301080004</v>
      </c>
    </row>
    <row r="98" spans="1:9" x14ac:dyDescent="0.25">
      <c r="A98" s="33" t="s">
        <v>183</v>
      </c>
      <c r="B98" t="s">
        <v>184</v>
      </c>
      <c r="C98" s="34">
        <f>IFERROR(INDEX('Kyriba PET Upload'!$B:$B,MATCH(A98,'Kyriba PET Upload'!$A:$A,0)),"")</f>
        <v>1398577.37</v>
      </c>
      <c r="D98" s="38" t="s">
        <v>1010</v>
      </c>
      <c r="E98" s="39">
        <v>2905028014</v>
      </c>
      <c r="F98" s="40" t="s">
        <v>1015</v>
      </c>
      <c r="G98" s="38" t="s">
        <v>1009</v>
      </c>
      <c r="H98" s="39">
        <v>1202690531</v>
      </c>
      <c r="I98" s="40">
        <v>1301080004</v>
      </c>
    </row>
    <row r="99" spans="1:9" x14ac:dyDescent="0.25">
      <c r="A99" s="33" t="s">
        <v>397</v>
      </c>
      <c r="B99" t="s">
        <v>398</v>
      </c>
      <c r="C99" s="34">
        <f>IFERROR(INDEX('Kyriba PET Upload'!$B:$B,MATCH(A99,'Kyriba PET Upload'!$A:$A,0)),"")</f>
        <v>0</v>
      </c>
      <c r="D99" s="38" t="s">
        <v>1010</v>
      </c>
      <c r="E99" s="39">
        <v>2905028015</v>
      </c>
      <c r="F99" s="40" t="s">
        <v>1015</v>
      </c>
      <c r="G99" s="38" t="s">
        <v>1012</v>
      </c>
      <c r="H99" s="39">
        <v>1202690531</v>
      </c>
      <c r="I99" s="40">
        <v>1301080004</v>
      </c>
    </row>
    <row r="100" spans="1:9" x14ac:dyDescent="0.25">
      <c r="A100" s="33" t="s">
        <v>314</v>
      </c>
      <c r="B100" t="s">
        <v>315</v>
      </c>
      <c r="C100" s="34">
        <f>IFERROR(INDEX('Kyriba PET Upload'!$B:$B,MATCH(A100,'Kyriba PET Upload'!$A:$A,0)),"")</f>
        <v>112811</v>
      </c>
      <c r="D100" s="38" t="s">
        <v>1011</v>
      </c>
      <c r="E100" s="39">
        <v>2905010001</v>
      </c>
      <c r="F100" s="40" t="s">
        <v>1015</v>
      </c>
      <c r="G100" s="38" t="s">
        <v>996</v>
      </c>
      <c r="H100" s="39">
        <v>1202690531</v>
      </c>
      <c r="I100" s="40">
        <v>1301080040</v>
      </c>
    </row>
    <row r="101" spans="1:9" x14ac:dyDescent="0.25">
      <c r="A101" s="33" t="s">
        <v>323</v>
      </c>
      <c r="B101" t="s">
        <v>324</v>
      </c>
      <c r="C101" s="34">
        <f>IFERROR(INDEX('Kyriba PET Upload'!$B:$B,MATCH(A101,'Kyriba PET Upload'!$A:$A,0)),"")</f>
        <v>2927508.61</v>
      </c>
      <c r="D101" s="38" t="s">
        <v>1011</v>
      </c>
      <c r="E101" s="39">
        <v>2905028014</v>
      </c>
      <c r="F101" s="40" t="s">
        <v>1015</v>
      </c>
      <c r="G101" s="38" t="s">
        <v>1009</v>
      </c>
      <c r="H101" s="39">
        <v>1202690531</v>
      </c>
      <c r="I101" s="40">
        <v>1301080040</v>
      </c>
    </row>
    <row r="102" spans="1:9" x14ac:dyDescent="0.25">
      <c r="A102" s="73" t="s">
        <v>1034</v>
      </c>
      <c r="B102" s="72" t="s">
        <v>1035</v>
      </c>
      <c r="C102" s="72" t="str">
        <f>IFERROR(INDEX('Kyriba PET Upload'!$B:$B,MATCH(A102,'Kyriba PET Upload'!$A:$A,0)),"")</f>
        <v/>
      </c>
      <c r="D102" s="74" t="s">
        <v>996</v>
      </c>
      <c r="E102" s="23" t="s">
        <v>1036</v>
      </c>
      <c r="F102" s="75">
        <v>1202690532</v>
      </c>
      <c r="G102" s="74" t="s">
        <v>1020</v>
      </c>
      <c r="H102" s="13">
        <v>1202690531</v>
      </c>
      <c r="I102" s="75">
        <v>1301110001</v>
      </c>
    </row>
    <row r="103" spans="1:9" x14ac:dyDescent="0.25">
      <c r="A103" s="73" t="s">
        <v>1037</v>
      </c>
      <c r="B103" s="72" t="s">
        <v>1038</v>
      </c>
      <c r="C103" s="72" t="str">
        <f>IFERROR(INDEX('Kyriba PET Upload'!$B:$B,MATCH(A103,'Kyriba PET Upload'!$A:$A,0)),"")</f>
        <v/>
      </c>
      <c r="D103" s="74" t="s">
        <v>996</v>
      </c>
      <c r="E103" s="23" t="s">
        <v>1036</v>
      </c>
      <c r="F103" s="75">
        <v>1202690532</v>
      </c>
      <c r="G103" s="74" t="s">
        <v>1023</v>
      </c>
      <c r="H103" s="13">
        <v>1202690531</v>
      </c>
      <c r="I103" s="75">
        <v>1301110001</v>
      </c>
    </row>
    <row r="104" spans="1:9" x14ac:dyDescent="0.25">
      <c r="A104" s="73" t="s">
        <v>1039</v>
      </c>
      <c r="B104" s="72" t="s">
        <v>1040</v>
      </c>
      <c r="C104" s="72" t="str">
        <f>IFERROR(INDEX('Kyriba PET Upload'!$B:$B,MATCH(A104,'Kyriba PET Upload'!$A:$A,0)),"")</f>
        <v/>
      </c>
      <c r="D104" s="74" t="s">
        <v>1002</v>
      </c>
      <c r="E104" s="23" t="s">
        <v>1036</v>
      </c>
      <c r="F104" s="75" t="s">
        <v>1018</v>
      </c>
      <c r="G104" s="74" t="s">
        <v>1007</v>
      </c>
      <c r="H104" s="13" t="s">
        <v>1041</v>
      </c>
      <c r="I104" s="75" t="s">
        <v>1041</v>
      </c>
    </row>
    <row r="105" spans="1:9" x14ac:dyDescent="0.25">
      <c r="A105" s="33"/>
      <c r="C105" s="34" t="str">
        <f>IFERROR(INDEX('Kyriba PET Upload'!$B:$B,MATCH(A105,'Kyriba PET Upload'!$A:$A,0)),"")</f>
        <v/>
      </c>
      <c r="D105" s="38"/>
      <c r="E105" s="39"/>
      <c r="F105" s="40"/>
      <c r="G105" s="38"/>
      <c r="H105" s="39"/>
      <c r="I105" s="40"/>
    </row>
    <row r="106" spans="1:9" x14ac:dyDescent="0.25">
      <c r="A106" s="33"/>
      <c r="C106" s="34" t="str">
        <f>IFERROR(INDEX('Kyriba PET Upload'!$B:$B,MATCH(A106,'Kyriba PET Upload'!$A:$A,0)),"")</f>
        <v/>
      </c>
      <c r="D106" s="38"/>
      <c r="E106" s="39"/>
      <c r="F106" s="40"/>
      <c r="G106" s="38"/>
      <c r="H106" s="39"/>
      <c r="I106" s="40"/>
    </row>
    <row r="107" spans="1:9" x14ac:dyDescent="0.25">
      <c r="A107" s="33"/>
      <c r="C107" s="34" t="str">
        <f>IFERROR(INDEX('Kyriba PET Upload'!$B:$B,MATCH(A107,'Kyriba PET Upload'!$A:$A,0)),"")</f>
        <v/>
      </c>
      <c r="D107" s="38"/>
      <c r="E107" s="39"/>
      <c r="F107" s="40"/>
      <c r="G107" s="38"/>
      <c r="H107" s="39"/>
      <c r="I107" s="40"/>
    </row>
    <row r="108" spans="1:9" x14ac:dyDescent="0.25">
      <c r="A108" s="33"/>
      <c r="C108" s="34" t="str">
        <f>IFERROR(INDEX('Kyriba PET Upload'!$B:$B,MATCH(A108,'Kyriba PET Upload'!$A:$A,0)),"")</f>
        <v/>
      </c>
      <c r="D108" s="38"/>
      <c r="E108" s="39"/>
      <c r="F108" s="40"/>
      <c r="G108" s="38"/>
      <c r="H108" s="39"/>
      <c r="I108" s="40"/>
    </row>
    <row r="109" spans="1:9" x14ac:dyDescent="0.25">
      <c r="A109" s="33"/>
      <c r="C109" s="34" t="str">
        <f>IFERROR(INDEX('Kyriba PET Upload'!$B:$B,MATCH(A109,'Kyriba PET Upload'!$A:$A,0)),"")</f>
        <v/>
      </c>
      <c r="D109" s="38"/>
      <c r="E109" s="39"/>
      <c r="F109" s="40"/>
      <c r="G109" s="38"/>
      <c r="H109" s="39"/>
      <c r="I109" s="40"/>
    </row>
    <row r="110" spans="1:9" x14ac:dyDescent="0.25">
      <c r="A110" s="33"/>
      <c r="C110" s="34" t="str">
        <f>IFERROR(INDEX('Kyriba PET Upload'!$B:$B,MATCH(A110,'Kyriba PET Upload'!$A:$A,0)),"")</f>
        <v/>
      </c>
      <c r="D110" s="38"/>
      <c r="E110" s="39"/>
      <c r="F110" s="40"/>
      <c r="G110" s="38"/>
      <c r="H110" s="39"/>
      <c r="I110" s="40"/>
    </row>
    <row r="111" spans="1:9" x14ac:dyDescent="0.25">
      <c r="A111" s="33"/>
      <c r="C111" s="34" t="str">
        <f>IFERROR(INDEX('Kyriba PET Upload'!$B:$B,MATCH(A111,'Kyriba PET Upload'!$A:$A,0)),"")</f>
        <v/>
      </c>
      <c r="D111" s="38"/>
      <c r="E111" s="39"/>
      <c r="F111" s="40"/>
      <c r="G111" s="38"/>
      <c r="H111" s="39"/>
      <c r="I111" s="40"/>
    </row>
    <row r="112" spans="1:9" x14ac:dyDescent="0.25">
      <c r="A112" s="33"/>
      <c r="C112" s="34" t="str">
        <f>IFERROR(INDEX('Kyriba PET Upload'!$B:$B,MATCH(A112,'Kyriba PET Upload'!$A:$A,0)),"")</f>
        <v/>
      </c>
      <c r="D112" s="38"/>
      <c r="E112" s="39"/>
      <c r="F112" s="40"/>
      <c r="G112" s="38"/>
      <c r="H112" s="39"/>
      <c r="I112" s="40"/>
    </row>
    <row r="113" spans="1:9" x14ac:dyDescent="0.25">
      <c r="A113" s="33"/>
      <c r="C113" s="34" t="str">
        <f>IFERROR(INDEX('Kyriba PET Upload'!$B:$B,MATCH(A113,'Kyriba PET Upload'!$A:$A,0)),"")</f>
        <v/>
      </c>
      <c r="D113" s="38"/>
      <c r="E113" s="39"/>
      <c r="F113" s="40"/>
      <c r="G113" s="38"/>
      <c r="H113" s="39"/>
      <c r="I113" s="40"/>
    </row>
    <row r="114" spans="1:9" x14ac:dyDescent="0.25">
      <c r="A114" s="33"/>
      <c r="C114" s="34" t="str">
        <f>IFERROR(INDEX('Kyriba PET Upload'!$B:$B,MATCH(A114,'Kyriba PET Upload'!$A:$A,0)),"")</f>
        <v/>
      </c>
      <c r="D114" s="38"/>
      <c r="E114" s="39"/>
      <c r="F114" s="40"/>
      <c r="G114" s="38"/>
      <c r="H114" s="39"/>
      <c r="I114" s="40"/>
    </row>
    <row r="115" spans="1:9" x14ac:dyDescent="0.25">
      <c r="A115" s="33"/>
      <c r="C115" s="34" t="str">
        <f>IFERROR(INDEX('Kyriba PET Upload'!$B:$B,MATCH(A115,'Kyriba PET Upload'!$A:$A,0)),"")</f>
        <v/>
      </c>
      <c r="D115" s="38"/>
      <c r="E115" s="39"/>
      <c r="F115" s="40"/>
      <c r="G115" s="38"/>
      <c r="H115" s="39"/>
      <c r="I115" s="40"/>
    </row>
    <row r="116" spans="1:9" x14ac:dyDescent="0.25">
      <c r="A116" s="33"/>
      <c r="C116" s="34" t="str">
        <f>IFERROR(INDEX('Kyriba PET Upload'!$B:$B,MATCH(A116,'Kyriba PET Upload'!$A:$A,0)),"")</f>
        <v/>
      </c>
      <c r="D116" s="38"/>
      <c r="E116" s="39"/>
      <c r="F116" s="40"/>
      <c r="G116" s="38"/>
      <c r="H116" s="39"/>
      <c r="I116" s="40"/>
    </row>
    <row r="117" spans="1:9" x14ac:dyDescent="0.25">
      <c r="A117" s="33"/>
      <c r="C117" s="34" t="str">
        <f>IFERROR(INDEX('Kyriba PET Upload'!$B:$B,MATCH(A117,'Kyriba PET Upload'!$A:$A,0)),"")</f>
        <v/>
      </c>
      <c r="D117" s="38"/>
      <c r="E117" s="39"/>
      <c r="F117" s="40"/>
      <c r="G117" s="38"/>
      <c r="H117" s="39"/>
      <c r="I117" s="40"/>
    </row>
    <row r="118" spans="1:9" x14ac:dyDescent="0.25">
      <c r="A118" s="33"/>
      <c r="C118" s="34" t="str">
        <f>IFERROR(INDEX('Kyriba PET Upload'!$B:$B,MATCH(A118,'Kyriba PET Upload'!$A:$A,0)),"")</f>
        <v/>
      </c>
      <c r="D118" s="38"/>
      <c r="E118" s="39"/>
      <c r="F118" s="40"/>
      <c r="G118" s="38"/>
      <c r="H118" s="39"/>
      <c r="I118" s="40"/>
    </row>
    <row r="119" spans="1:9" x14ac:dyDescent="0.25">
      <c r="A119" s="33"/>
      <c r="C119" s="34" t="str">
        <f>IFERROR(INDEX('Kyriba PET Upload'!$B:$B,MATCH(A119,'Kyriba PET Upload'!$A:$A,0)),"")</f>
        <v/>
      </c>
      <c r="D119" s="38"/>
      <c r="E119" s="39"/>
      <c r="F119" s="40"/>
      <c r="G119" s="38"/>
      <c r="H119" s="39"/>
      <c r="I119" s="40"/>
    </row>
    <row r="120" spans="1:9" x14ac:dyDescent="0.25">
      <c r="A120" s="33"/>
      <c r="C120" s="34" t="str">
        <f>IFERROR(INDEX('Kyriba PET Upload'!$B:$B,MATCH(A120,'Kyriba PET Upload'!$A:$A,0)),"")</f>
        <v/>
      </c>
      <c r="D120" s="38"/>
      <c r="E120" s="39"/>
      <c r="F120" s="40"/>
      <c r="G120" s="38"/>
      <c r="H120" s="39"/>
      <c r="I120" s="40"/>
    </row>
    <row r="121" spans="1:9" x14ac:dyDescent="0.25">
      <c r="A121" s="33"/>
      <c r="C121" s="34" t="str">
        <f>IFERROR(INDEX('Kyriba PET Upload'!$B:$B,MATCH(A121,'Kyriba PET Upload'!$A:$A,0)),"")</f>
        <v/>
      </c>
      <c r="D121" s="38"/>
      <c r="E121" s="39"/>
      <c r="F121" s="40"/>
      <c r="G121" s="38"/>
      <c r="H121" s="39"/>
      <c r="I121" s="40"/>
    </row>
    <row r="122" spans="1:9" x14ac:dyDescent="0.25">
      <c r="A122" s="33"/>
      <c r="C122" s="34" t="str">
        <f>IFERROR(INDEX('Kyriba PET Upload'!$B:$B,MATCH(A122,'Kyriba PET Upload'!$A:$A,0)),"")</f>
        <v/>
      </c>
      <c r="D122" s="38"/>
      <c r="E122" s="39"/>
      <c r="F122" s="40"/>
      <c r="G122" s="38"/>
      <c r="H122" s="39"/>
      <c r="I122" s="40"/>
    </row>
    <row r="124" spans="1:9" x14ac:dyDescent="0.25">
      <c r="A124" s="60" t="s">
        <v>538</v>
      </c>
      <c r="B124" s="62"/>
      <c r="C124" s="60">
        <f>COUNTIF(C5:C122,"&gt;0")</f>
        <v>42</v>
      </c>
    </row>
    <row r="125" spans="1:9" x14ac:dyDescent="0.25">
      <c r="A125" s="60" t="s">
        <v>539</v>
      </c>
      <c r="B125" s="62"/>
      <c r="C125" s="61">
        <f>SUM(C5:C122)</f>
        <v>29206217.120000001</v>
      </c>
    </row>
    <row r="126" spans="1:9" x14ac:dyDescent="0.25">
      <c r="A126" s="63"/>
      <c r="B126" s="62"/>
      <c r="C126" s="62"/>
    </row>
    <row r="127" spans="1:9" x14ac:dyDescent="0.25">
      <c r="A127" s="63"/>
      <c r="B127" s="62"/>
      <c r="C127" s="62"/>
    </row>
    <row r="128" spans="1:9" x14ac:dyDescent="0.25">
      <c r="A128" s="64" t="s">
        <v>1042</v>
      </c>
      <c r="B128" s="62"/>
      <c r="C128" s="62"/>
    </row>
    <row r="129" spans="1:3" x14ac:dyDescent="0.25">
      <c r="A129" s="65" t="s">
        <v>1043</v>
      </c>
      <c r="B129" s="65" t="s">
        <v>1044</v>
      </c>
      <c r="C129" s="65" t="s">
        <v>539</v>
      </c>
    </row>
    <row r="130" spans="1:3" x14ac:dyDescent="0.25">
      <c r="A130" s="66" t="s">
        <v>1045</v>
      </c>
      <c r="B130" s="67">
        <f>RECON!E294</f>
        <v>46</v>
      </c>
      <c r="C130" s="68">
        <f>RECON!E295</f>
        <v>29359881.150000002</v>
      </c>
    </row>
    <row r="131" spans="1:3" x14ac:dyDescent="0.25">
      <c r="A131" s="66" t="s">
        <v>1046</v>
      </c>
      <c r="B131" s="67">
        <f>'Kyriba PET Upload'!B100</f>
        <v>42</v>
      </c>
      <c r="C131" s="68">
        <f>'Kyriba PET Upload'!B101</f>
        <v>29206217.120000001</v>
      </c>
    </row>
    <row r="132" spans="1:3" x14ac:dyDescent="0.25">
      <c r="A132" s="66" t="s">
        <v>1047</v>
      </c>
      <c r="B132" s="67">
        <f>C124</f>
        <v>42</v>
      </c>
      <c r="C132" s="68">
        <f>C125</f>
        <v>29206217.120000001</v>
      </c>
    </row>
    <row r="133" spans="1:3" x14ac:dyDescent="0.25">
      <c r="A133" s="63"/>
      <c r="B133" s="62"/>
      <c r="C133" s="62"/>
    </row>
    <row r="134" spans="1:3" x14ac:dyDescent="0.25">
      <c r="A134" s="69" t="s">
        <v>1048</v>
      </c>
      <c r="B134" s="67" t="str">
        <f>IF(AND(B130=B131,B131=B132),"✓ Counts Match","⚠ COUNT MISMATCH")</f>
        <v>⚠ COUNT MISMATCH</v>
      </c>
      <c r="C134" s="67" t="str">
        <f>IF(AND(C130=C131,C131=C132),"✓ Amounts Match","⚠ AMOUNT MISMATCH")</f>
        <v>⚠ AMOUNT MISMATCH</v>
      </c>
    </row>
    <row r="148" spans="3:3" x14ac:dyDescent="0.25">
      <c r="C148" t="str">
        <f>IFERROR(INDEX('Kyriba PET Upload'!$B:$B,MATCH(A148,'Kyriba PET Upload'!$A:$A,0)),"")</f>
        <v/>
      </c>
    </row>
    <row r="247" spans="1:3" x14ac:dyDescent="0.25">
      <c r="A247" t="s">
        <v>131</v>
      </c>
      <c r="C247" t="str">
        <f>IFERROR(INDEX('Kyriba PET Upload'!$B:$B,MATCH(A247,'Kyriba PET Upload'!$A:$A,0)),"")</f>
        <v/>
      </c>
    </row>
    <row r="268" spans="1:1" x14ac:dyDescent="0.25">
      <c r="A268" s="2"/>
    </row>
  </sheetData>
  <mergeCells count="4">
    <mergeCell ref="B1:I1"/>
    <mergeCell ref="D3:F3"/>
    <mergeCell ref="B2:I2"/>
    <mergeCell ref="G3:I3"/>
  </mergeCells>
  <conditionalFormatting sqref="A5:I122">
    <cfRule type="colorScale" priority="2">
      <colorScale>
        <cfvo type="formula" val="MOD(ROW(),2)=0"/>
        <cfvo type="formula" val="MOD(ROW(),2)=0"/>
        <color theme="0" tint="-4.9989318521683403E-2"/>
        <color theme="0" tint="-0.14999847407452621"/>
      </colorScale>
    </cfRule>
  </conditionalFormatting>
  <conditionalFormatting sqref="A105:I122">
    <cfRule type="colorScale" priority="1">
      <colorScale>
        <cfvo type="formula" val="MOD(ROW(),2)=0"/>
        <cfvo type="formula" val="MOD(ROW(),2)=0"/>
        <color theme="0" tint="-4.9989318521683403E-2"/>
        <color theme="0" tint="-0.14999847407452621"/>
      </colorScale>
    </cfRule>
  </conditionalFormatting>
  <pageMargins left="0.7" right="0.7" top="0.75" bottom="0.75" header="0.3" footer="0.3"/>
  <pageSetup scale="83" fitToHeight="3"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D247"/>
  <sheetViews>
    <sheetView zoomScaleNormal="100" workbookViewId="0">
      <selection activeCell="G94" sqref="G94"/>
    </sheetView>
  </sheetViews>
  <sheetFormatPr defaultRowHeight="15" x14ac:dyDescent="0.25"/>
  <cols>
    <col min="1" max="1" width="25.5703125" style="9" bestFit="1" customWidth="1"/>
    <col min="2" max="2" width="13.85546875" bestFit="1" customWidth="1"/>
    <col min="3" max="3" width="25.7109375" bestFit="1" customWidth="1"/>
    <col min="4" max="4" width="11" bestFit="1" customWidth="1"/>
  </cols>
  <sheetData>
    <row r="1" spans="1:4" x14ac:dyDescent="0.25">
      <c r="A1" s="8" t="s">
        <v>1049</v>
      </c>
      <c r="B1" s="12" t="s">
        <v>1050</v>
      </c>
      <c r="C1" s="12" t="s">
        <v>1051</v>
      </c>
      <c r="D1" s="25"/>
    </row>
    <row r="2" spans="1:4" x14ac:dyDescent="0.25">
      <c r="A2" t="s">
        <v>13</v>
      </c>
      <c r="B2" s="24">
        <f>IFERROR(ABS(INDEX(RECON!$E:$E,MATCH(A2,RECON!$I:$I,0))),"")</f>
        <v>24053.81</v>
      </c>
      <c r="C2" s="25">
        <f ca="1">IF(OR(B2=0,B2=""),"",'Treasury Payments&amp;Accounting'!$A$2)</f>
        <v>46303</v>
      </c>
    </row>
    <row r="3" spans="1:4" x14ac:dyDescent="0.25">
      <c r="A3" t="s">
        <v>24</v>
      </c>
      <c r="B3" s="24">
        <f>IFERROR(ABS(INDEX(RECON!$E:$E,MATCH(A3,RECON!$I:$I,0))),"")</f>
        <v>209559.85</v>
      </c>
      <c r="C3" s="25">
        <f ca="1">IF(OR(B3=0,B3=""),"",'Treasury Payments&amp;Accounting'!$A$2)</f>
        <v>46303</v>
      </c>
    </row>
    <row r="4" spans="1:4" x14ac:dyDescent="0.25">
      <c r="A4" t="s">
        <v>34</v>
      </c>
      <c r="B4" s="24">
        <f>IFERROR(ABS(INDEX(RECON!$E:$E,MATCH(A4,RECON!$I:$I,0))),"")</f>
        <v>0</v>
      </c>
      <c r="C4" s="25" t="str">
        <f>IF(OR(B4=0,B4=""),"",'Treasury Payments&amp;Accounting'!$A$2)</f>
        <v/>
      </c>
    </row>
    <row r="5" spans="1:4" x14ac:dyDescent="0.25">
      <c r="A5" t="s">
        <v>44</v>
      </c>
      <c r="B5" s="24">
        <f>IFERROR(ABS(INDEX(RECON!$E:$E,MATCH(A5,RECON!$I:$I,0))),"")</f>
        <v>0</v>
      </c>
      <c r="C5" s="25" t="str">
        <f>IF(OR(B5=0,B5=""),"",'Treasury Payments&amp;Accounting'!$A$2)</f>
        <v/>
      </c>
    </row>
    <row r="6" spans="1:4" x14ac:dyDescent="0.25">
      <c r="A6" t="s">
        <v>407</v>
      </c>
      <c r="B6" s="24">
        <f>IFERROR(ABS(INDEX(RECON!$E:$E,MATCH(A6,RECON!$I:$I,0))),"")</f>
        <v>0</v>
      </c>
      <c r="C6" s="25" t="str">
        <f>IF(OR(B6=0,B6=""),"",'Treasury Payments&amp;Accounting'!$A$2)</f>
        <v/>
      </c>
    </row>
    <row r="7" spans="1:4" x14ac:dyDescent="0.25">
      <c r="A7" t="s">
        <v>199</v>
      </c>
      <c r="B7" s="24">
        <f>IFERROR(ABS(INDEX(RECON!$E:$E,MATCH(A7,RECON!$I:$I,0))),"")</f>
        <v>175371.92</v>
      </c>
      <c r="C7" s="25">
        <f ca="1">IF(OR(B7=0,B7=""),"",'Treasury Payments&amp;Accounting'!$A$2)</f>
        <v>46303</v>
      </c>
    </row>
    <row r="8" spans="1:4" x14ac:dyDescent="0.25">
      <c r="A8" t="s">
        <v>425</v>
      </c>
      <c r="B8" s="24">
        <f>IFERROR(ABS(INDEX(RECON!$E:$E,MATCH(A8,RECON!$I:$I,0))),"")</f>
        <v>0</v>
      </c>
      <c r="C8" s="25" t="str">
        <f>IF(OR(B8=0,B8=""),"",'Treasury Payments&amp;Accounting'!$A$2)</f>
        <v/>
      </c>
    </row>
    <row r="9" spans="1:4" x14ac:dyDescent="0.25">
      <c r="A9" t="s">
        <v>439</v>
      </c>
      <c r="B9" s="24">
        <f>IFERROR(ABS(INDEX(RECON!$E:$E,MATCH(A9,RECON!$I:$I,0))),"")</f>
        <v>0</v>
      </c>
      <c r="C9" s="25" t="str">
        <f>IF(OR(B9=0,B9=""),"",'Treasury Payments&amp;Accounting'!$A$2)</f>
        <v/>
      </c>
    </row>
    <row r="10" spans="1:4" x14ac:dyDescent="0.25">
      <c r="A10" t="s">
        <v>309</v>
      </c>
      <c r="B10" s="24">
        <f>IFERROR(ABS(INDEX(RECON!$E:$E,MATCH(A10,RECON!$I:$I,0))),"")</f>
        <v>0</v>
      </c>
      <c r="C10" s="25" t="str">
        <f>IF(OR(B10=0,B10=""),"",'Treasury Payments&amp;Accounting'!$A$2)</f>
        <v/>
      </c>
    </row>
    <row r="11" spans="1:4" x14ac:dyDescent="0.25">
      <c r="A11" t="s">
        <v>236</v>
      </c>
      <c r="B11" s="24">
        <f>IFERROR(ABS(INDEX(RECON!$E:$E,MATCH(A11,RECON!$I:$I,0))),"")</f>
        <v>0</v>
      </c>
      <c r="C11" s="25" t="str">
        <f>IF(OR(B11=0,B11=""),"",'Treasury Payments&amp;Accounting'!$A$2)</f>
        <v/>
      </c>
    </row>
    <row r="12" spans="1:4" x14ac:dyDescent="0.25">
      <c r="A12" t="s">
        <v>54</v>
      </c>
      <c r="B12" s="24">
        <f>IFERROR(ABS(INDEX(RECON!$E:$E,MATCH(A12,RECON!$I:$I,0))),"")</f>
        <v>122815.64</v>
      </c>
      <c r="C12" s="25">
        <f ca="1">IF(OR(B12=0,B12=""),"",'Treasury Payments&amp;Accounting'!$A$2)</f>
        <v>46303</v>
      </c>
    </row>
    <row r="13" spans="1:4" x14ac:dyDescent="0.25">
      <c r="A13" t="s">
        <v>64</v>
      </c>
      <c r="B13" s="24">
        <f>IFERROR(ABS(INDEX(RECON!$E:$E,MATCH(A13,RECON!$I:$I,0))),"")</f>
        <v>3187137.57</v>
      </c>
      <c r="C13" s="25">
        <f ca="1">IF(OR(B13=0,B13=""),"",'Treasury Payments&amp;Accounting'!$A$2)</f>
        <v>46303</v>
      </c>
    </row>
    <row r="14" spans="1:4" x14ac:dyDescent="0.25">
      <c r="A14" t="s">
        <v>74</v>
      </c>
      <c r="B14" s="24">
        <f>IFERROR(ABS(INDEX(RECON!$E:$E,MATCH(A14,RECON!$I:$I,0))),"")</f>
        <v>1463.94</v>
      </c>
      <c r="C14" s="25">
        <f ca="1">IF(OR(B14=0,B14=""),"",'Treasury Payments&amp;Accounting'!$A$2)</f>
        <v>46303</v>
      </c>
    </row>
    <row r="15" spans="1:4" x14ac:dyDescent="0.25">
      <c r="A15" t="s">
        <v>319</v>
      </c>
      <c r="B15" s="24">
        <f>IFERROR(ABS(INDEX(RECON!$E:$E,MATCH(A15,RECON!$I:$I,0))),"")</f>
        <v>0</v>
      </c>
      <c r="C15" s="25" t="str">
        <f>IF(OR(B15=0,B15=""),"",'Treasury Payments&amp;Accounting'!$A$2)</f>
        <v/>
      </c>
    </row>
    <row r="16" spans="1:4" x14ac:dyDescent="0.25">
      <c r="A16" t="s">
        <v>84</v>
      </c>
      <c r="B16" s="24">
        <f>IFERROR(ABS(INDEX(RECON!$E:$E,MATCH(A16,RECON!$I:$I,0))),"")</f>
        <v>0</v>
      </c>
      <c r="C16" s="25" t="str">
        <f>IF(OR(B16=0,B16=""),"",'Treasury Payments&amp;Accounting'!$A$2)</f>
        <v/>
      </c>
    </row>
    <row r="17" spans="1:3" x14ac:dyDescent="0.25">
      <c r="A17" t="s">
        <v>268</v>
      </c>
      <c r="B17" s="24">
        <f>IFERROR(ABS(INDEX(RECON!$E:$E,MATCH(A17,RECON!$I:$I,0))),"")</f>
        <v>0</v>
      </c>
      <c r="C17" s="25" t="str">
        <f>IF(OR(B17=0,B17=""),"",'Treasury Payments&amp;Accounting'!$A$2)</f>
        <v/>
      </c>
    </row>
    <row r="18" spans="1:3" x14ac:dyDescent="0.25">
      <c r="A18" t="s">
        <v>299</v>
      </c>
      <c r="B18" s="24">
        <f>IFERROR(ABS(INDEX(RECON!$E:$E,MATCH(A18,RECON!$I:$I,0))),"")</f>
        <v>31578.31</v>
      </c>
      <c r="C18" s="25">
        <f ca="1">IF(OR(B18=0,B18=""),"",'Treasury Payments&amp;Accounting'!$A$2)</f>
        <v>46303</v>
      </c>
    </row>
    <row r="19" spans="1:3" x14ac:dyDescent="0.25">
      <c r="A19" t="s">
        <v>19</v>
      </c>
      <c r="B19" s="24">
        <f>IFERROR(ABS(INDEX(RECON!$E:$E,MATCH(A19,RECON!$I:$I,0))),"")</f>
        <v>47844.89</v>
      </c>
      <c r="C19" s="25">
        <f ca="1">IF(OR(B19=0,B19=""),"",'Treasury Payments&amp;Accounting'!$A$2)</f>
        <v>46303</v>
      </c>
    </row>
    <row r="20" spans="1:3" x14ac:dyDescent="0.25">
      <c r="A20" t="s">
        <v>93</v>
      </c>
      <c r="B20" s="24">
        <f>IFERROR(ABS(INDEX(RECON!$E:$E,MATCH(A20,RECON!$I:$I,0))),"")</f>
        <v>69659.5</v>
      </c>
      <c r="C20" s="25">
        <f ca="1">IF(OR(B20=0,B20=""),"",'Treasury Payments&amp;Accounting'!$A$2)</f>
        <v>46303</v>
      </c>
    </row>
    <row r="21" spans="1:3" x14ac:dyDescent="0.25">
      <c r="A21" t="s">
        <v>29</v>
      </c>
      <c r="B21" s="24">
        <f>IFERROR(ABS(INDEX(RECON!$E:$E,MATCH(A21,RECON!$I:$I,0))),"")</f>
        <v>538696.59</v>
      </c>
      <c r="C21" s="25">
        <f ca="1">IF(OR(B21=0,B21=""),"",'Treasury Payments&amp;Accounting'!$A$2)</f>
        <v>46303</v>
      </c>
    </row>
    <row r="22" spans="1:3" x14ac:dyDescent="0.25">
      <c r="A22" t="s">
        <v>105</v>
      </c>
      <c r="B22" s="24">
        <f>IFERROR(ABS(INDEX(RECON!$E:$E,MATCH(A22,RECON!$I:$I,0))),"")</f>
        <v>455687.58</v>
      </c>
      <c r="C22" s="25">
        <f ca="1">IF(OR(B22=0,B22=""),"",'Treasury Payments&amp;Accounting'!$A$2)</f>
        <v>46303</v>
      </c>
    </row>
    <row r="23" spans="1:3" x14ac:dyDescent="0.25">
      <c r="A23" t="s">
        <v>360</v>
      </c>
      <c r="B23" s="24">
        <f>IFERROR(ABS(INDEX(RECON!$E:$E,MATCH(A23,RECON!$I:$I,0))),"")</f>
        <v>0</v>
      </c>
      <c r="C23" s="25" t="str">
        <f>IF(OR(B23=0,B23=""),"",'Treasury Payments&amp;Accounting'!$A$2)</f>
        <v/>
      </c>
    </row>
    <row r="24" spans="1:3" x14ac:dyDescent="0.25">
      <c r="A24" t="s">
        <v>351</v>
      </c>
      <c r="B24" s="24">
        <f>IFERROR(ABS(INDEX(RECON!$E:$E,MATCH(A24,RECON!$I:$I,0))),"")</f>
        <v>0</v>
      </c>
      <c r="C24" s="25" t="str">
        <f>IF(OR(B24=0,B24=""),"",'Treasury Payments&amp;Accounting'!$A$2)</f>
        <v/>
      </c>
    </row>
    <row r="25" spans="1:3" x14ac:dyDescent="0.25">
      <c r="A25" t="s">
        <v>39</v>
      </c>
      <c r="B25" s="24">
        <f>IFERROR(ABS(INDEX(RECON!$E:$E,MATCH(A25,RECON!$I:$I,0))),"")</f>
        <v>0</v>
      </c>
      <c r="C25" s="25" t="str">
        <f>IF(OR(B25=0,B25=""),"",'Treasury Payments&amp;Accounting'!$A$2)</f>
        <v/>
      </c>
    </row>
    <row r="26" spans="1:3" x14ac:dyDescent="0.25">
      <c r="A26" t="s">
        <v>113</v>
      </c>
      <c r="B26" s="24">
        <f>IFERROR(ABS(INDEX(RECON!$E:$E,MATCH(A26,RECON!$I:$I,0))),"")</f>
        <v>13992.87</v>
      </c>
      <c r="C26" s="25">
        <f ca="1">IF(OR(B26=0,B26=""),"",'Treasury Payments&amp;Accounting'!$A$2)</f>
        <v>46303</v>
      </c>
    </row>
    <row r="27" spans="1:3" x14ac:dyDescent="0.25">
      <c r="A27" t="s">
        <v>123</v>
      </c>
      <c r="B27" s="24">
        <f>IFERROR(ABS(INDEX(RECON!$E:$E,MATCH(A27,RECON!$I:$I,0))),"")</f>
        <v>0</v>
      </c>
      <c r="C27" s="25" t="str">
        <f>IF(OR(B27=0,B27=""),"",'Treasury Payments&amp;Accounting'!$A$2)</f>
        <v/>
      </c>
    </row>
    <row r="28" spans="1:3" x14ac:dyDescent="0.25">
      <c r="A28" t="s">
        <v>402</v>
      </c>
      <c r="B28" s="24">
        <f>IFERROR(ABS(INDEX(RECON!$E:$E,MATCH(A28,RECON!$I:$I,0))),"")</f>
        <v>0</v>
      </c>
      <c r="C28" s="25" t="str">
        <f>IF(OR(B28=0,B28=""),"",'Treasury Payments&amp;Accounting'!$A$2)</f>
        <v/>
      </c>
    </row>
    <row r="29" spans="1:3" x14ac:dyDescent="0.25">
      <c r="A29" t="s">
        <v>201</v>
      </c>
      <c r="B29" s="24">
        <f>IFERROR(ABS(INDEX(RECON!$E:$E,MATCH(A29,RECON!$I:$I,0))),"")</f>
        <v>50719.5</v>
      </c>
      <c r="C29" s="25">
        <f ca="1">IF(OR(B29=0,B29=""),"",'Treasury Payments&amp;Accounting'!$A$2)</f>
        <v>46303</v>
      </c>
    </row>
    <row r="30" spans="1:3" x14ac:dyDescent="0.25">
      <c r="A30" t="s">
        <v>419</v>
      </c>
      <c r="B30" s="24">
        <f>IFERROR(ABS(INDEX(RECON!$E:$E,MATCH(A30,RECON!$I:$I,0))),"")</f>
        <v>0</v>
      </c>
      <c r="C30" s="25" t="str">
        <f>IF(OR(B30=0,B30=""),"",'Treasury Payments&amp;Accounting'!$A$2)</f>
        <v/>
      </c>
    </row>
    <row r="31" spans="1:3" x14ac:dyDescent="0.25">
      <c r="A31" t="s">
        <v>192</v>
      </c>
      <c r="B31" s="24">
        <f>IFERROR(ABS(INDEX(RECON!$E:$E,MATCH(A31,RECON!$I:$I,0))),"")</f>
        <v>57536.34</v>
      </c>
      <c r="C31" s="25">
        <f ca="1">IF(OR(B31=0,B31=""),"",'Treasury Payments&amp;Accounting'!$A$2)</f>
        <v>46303</v>
      </c>
    </row>
    <row r="32" spans="1:3" x14ac:dyDescent="0.25">
      <c r="A32" t="s">
        <v>429</v>
      </c>
      <c r="B32" s="24">
        <f>IFERROR(ABS(INDEX(RECON!$E:$E,MATCH(A32,RECON!$I:$I,0))),"")</f>
        <v>0</v>
      </c>
      <c r="C32" s="25" t="str">
        <f>IF(OR(B32=0,B32=""),"",'Treasury Payments&amp;Accounting'!$A$2)</f>
        <v/>
      </c>
    </row>
    <row r="33" spans="1:3" x14ac:dyDescent="0.25">
      <c r="A33" t="s">
        <v>413</v>
      </c>
      <c r="B33" s="24">
        <f>IFERROR(ABS(INDEX(RECON!$E:$E,MATCH(A33,RECON!$I:$I,0))),"")</f>
        <v>0</v>
      </c>
      <c r="C33" s="25" t="str">
        <f>IF(OR(B33=0,B33=""),"",'Treasury Payments&amp;Accounting'!$A$2)</f>
        <v/>
      </c>
    </row>
    <row r="34" spans="1:3" x14ac:dyDescent="0.25">
      <c r="A34" t="s">
        <v>444</v>
      </c>
      <c r="B34" s="24">
        <f>IFERROR(ABS(INDEX(RECON!$E:$E,MATCH(A34,RECON!$I:$I,0))),"")</f>
        <v>0</v>
      </c>
      <c r="C34" s="25" t="str">
        <f>IF(OR(B34=0,B34=""),"",'Treasury Payments&amp;Accounting'!$A$2)</f>
        <v/>
      </c>
    </row>
    <row r="35" spans="1:3" x14ac:dyDescent="0.25">
      <c r="A35" t="s">
        <v>434</v>
      </c>
      <c r="B35" s="24">
        <f>IFERROR(ABS(INDEX(RECON!$E:$E,MATCH(A35,RECON!$I:$I,0))),"")</f>
        <v>0</v>
      </c>
      <c r="C35" s="25" t="str">
        <f>IF(OR(B35=0,B35=""),"",'Treasury Payments&amp;Accounting'!$A$2)</f>
        <v/>
      </c>
    </row>
    <row r="36" spans="1:3" x14ac:dyDescent="0.25">
      <c r="A36" t="s">
        <v>453</v>
      </c>
      <c r="B36" s="24">
        <f>IFERROR(ABS(INDEX(RECON!$E:$E,MATCH(A36,RECON!$I:$I,0))),"")</f>
        <v>0</v>
      </c>
      <c r="C36" s="25" t="str">
        <f>IF(OR(B36=0,B36=""),"",'Treasury Payments&amp;Accounting'!$A$2)</f>
        <v/>
      </c>
    </row>
    <row r="37" spans="1:3" x14ac:dyDescent="0.25">
      <c r="A37" t="s">
        <v>304</v>
      </c>
      <c r="B37" s="24">
        <f>IFERROR(ABS(INDEX(RECON!$E:$E,MATCH(A37,RECON!$I:$I,0))),"")</f>
        <v>0</v>
      </c>
      <c r="C37" s="25" t="str">
        <f>IF(OR(B37=0,B37=""),"",'Treasury Payments&amp;Accounting'!$A$2)</f>
        <v/>
      </c>
    </row>
    <row r="38" spans="1:3" x14ac:dyDescent="0.25">
      <c r="A38" t="s">
        <v>385</v>
      </c>
      <c r="B38" s="24">
        <f>IFERROR(ABS(INDEX(RECON!$E:$E,MATCH(A38,RECON!$I:$I,0))),"")</f>
        <v>0</v>
      </c>
      <c r="C38" s="25" t="str">
        <f>IF(OR(B38=0,B38=""),"",'Treasury Payments&amp;Accounting'!$A$2)</f>
        <v/>
      </c>
    </row>
    <row r="39" spans="1:3" x14ac:dyDescent="0.25">
      <c r="A39" t="s">
        <v>250</v>
      </c>
      <c r="B39" s="24">
        <f>IFERROR(ABS(INDEX(RECON!$E:$E,MATCH(A39,RECON!$I:$I,0))),"")</f>
        <v>0</v>
      </c>
      <c r="C39" s="25" t="str">
        <f>IF(OR(B39=0,B39=""),"",'Treasury Payments&amp;Accounting'!$A$2)</f>
        <v/>
      </c>
    </row>
    <row r="40" spans="1:3" x14ac:dyDescent="0.25">
      <c r="A40" t="s">
        <v>332</v>
      </c>
      <c r="B40" s="24">
        <f>IFERROR(ABS(INDEX(RECON!$E:$E,MATCH(A40,RECON!$I:$I,0))),"")</f>
        <v>0</v>
      </c>
      <c r="C40" s="25" t="str">
        <f>IF(OR(B40=0,B40=""),"",'Treasury Payments&amp;Accounting'!$A$2)</f>
        <v/>
      </c>
    </row>
    <row r="41" spans="1:3" x14ac:dyDescent="0.25">
      <c r="A41" t="s">
        <v>255</v>
      </c>
      <c r="B41" s="24">
        <f>IFERROR(ABS(INDEX(RECON!$E:$E,MATCH(A41,RECON!$I:$I,0))),"")</f>
        <v>9701.39</v>
      </c>
      <c r="C41" s="25">
        <f ca="1">IF(OR(B41=0,B41=""),"",'Treasury Payments&amp;Accounting'!$A$2)</f>
        <v>46303</v>
      </c>
    </row>
    <row r="42" spans="1:3" x14ac:dyDescent="0.25">
      <c r="A42" t="s">
        <v>342</v>
      </c>
      <c r="B42" s="24">
        <f>IFERROR(ABS(INDEX(RECON!$E:$E,MATCH(A42,RECON!$I:$I,0))),"")</f>
        <v>63155.9</v>
      </c>
      <c r="C42" s="25">
        <f ca="1">IF(OR(B42=0,B42=""),"",'Treasury Payments&amp;Accounting'!$A$2)</f>
        <v>46303</v>
      </c>
    </row>
    <row r="43" spans="1:3" x14ac:dyDescent="0.25">
      <c r="A43" t="s">
        <v>241</v>
      </c>
      <c r="B43" s="24">
        <f>IFERROR(ABS(INDEX(RECON!$E:$E,MATCH(A43,RECON!$I:$I,0))),"")</f>
        <v>0</v>
      </c>
      <c r="C43" s="25" t="str">
        <f>IF(OR(B43=0,B43=""),"",'Treasury Payments&amp;Accounting'!$A$2)</f>
        <v/>
      </c>
    </row>
    <row r="44" spans="1:3" x14ac:dyDescent="0.25">
      <c r="A44" t="s">
        <v>245</v>
      </c>
      <c r="B44" s="24">
        <f>IFERROR(ABS(INDEX(RECON!$E:$E,MATCH(A44,RECON!$I:$I,0))),"")</f>
        <v>0</v>
      </c>
      <c r="C44" s="25" t="str">
        <f>IF(OR(B44=0,B44=""),"",'Treasury Payments&amp;Accounting'!$A$2)</f>
        <v/>
      </c>
    </row>
    <row r="45" spans="1:3" x14ac:dyDescent="0.25">
      <c r="A45" t="s">
        <v>264</v>
      </c>
      <c r="B45" s="24">
        <f>IFERROR(ABS(INDEX(RECON!$E:$E,MATCH(A45,RECON!$I:$I,0))),"")</f>
        <v>860.95</v>
      </c>
      <c r="C45" s="25">
        <f ca="1">IF(OR(B45=0,B45=""),"",'Treasury Payments&amp;Accounting'!$A$2)</f>
        <v>46303</v>
      </c>
    </row>
    <row r="46" spans="1:3" x14ac:dyDescent="0.25">
      <c r="A46" t="s">
        <v>289</v>
      </c>
      <c r="B46" s="24">
        <f>IFERROR(ABS(INDEX(RECON!$E:$E,MATCH(A46,RECON!$I:$I,0))),"")</f>
        <v>0</v>
      </c>
      <c r="C46" s="25" t="str">
        <f>IF(OR(B46=0,B46=""),"",'Treasury Payments&amp;Accounting'!$A$2)</f>
        <v/>
      </c>
    </row>
    <row r="47" spans="1:3" x14ac:dyDescent="0.25">
      <c r="A47" t="s">
        <v>69</v>
      </c>
      <c r="B47" s="24">
        <f>IFERROR(ABS(INDEX(RECON!$E:$E,MATCH(A47,RECON!$I:$I,0))),"")</f>
        <v>6577032.3300000001</v>
      </c>
      <c r="C47" s="25">
        <f ca="1">IF(OR(B47=0,B47=""),"",'Treasury Payments&amp;Accounting'!$A$2)</f>
        <v>46303</v>
      </c>
    </row>
    <row r="48" spans="1:3" x14ac:dyDescent="0.25">
      <c r="A48" t="s">
        <v>101</v>
      </c>
      <c r="B48" s="24">
        <f>IFERROR(ABS(INDEX(RECON!$E:$E,MATCH(A48,RECON!$I:$I,0))),"")</f>
        <v>201.8</v>
      </c>
      <c r="C48" s="25">
        <f ca="1">IF(OR(B48=0,B48=""),"",'Treasury Payments&amp;Accounting'!$A$2)</f>
        <v>46303</v>
      </c>
    </row>
    <row r="49" spans="1:3" x14ac:dyDescent="0.25">
      <c r="A49" t="s">
        <v>109</v>
      </c>
      <c r="B49" s="24">
        <f>IFERROR(ABS(INDEX(RECON!$E:$E,MATCH(A49,RECON!$I:$I,0))),"")</f>
        <v>260.97000000000003</v>
      </c>
      <c r="C49" s="25">
        <f ca="1">IF(OR(B49=0,B49=""),"",'Treasury Payments&amp;Accounting'!$A$2)</f>
        <v>46303</v>
      </c>
    </row>
    <row r="50" spans="1:3" x14ac:dyDescent="0.25">
      <c r="A50" t="s">
        <v>118</v>
      </c>
      <c r="B50" s="24">
        <f>IFERROR(ABS(INDEX(RECON!$E:$E,MATCH(A50,RECON!$I:$I,0))),"")</f>
        <v>0</v>
      </c>
      <c r="C50" s="25" t="str">
        <f>IF(OR(B50=0,B50=""),"",'Treasury Payments&amp;Accounting'!$A$2)</f>
        <v/>
      </c>
    </row>
    <row r="51" spans="1:3" x14ac:dyDescent="0.25">
      <c r="A51" t="s">
        <v>207</v>
      </c>
      <c r="B51" s="24">
        <f>IFERROR(ABS(INDEX(RECON!$E:$E,MATCH(A51,RECON!$I:$I,0))),"")</f>
        <v>0</v>
      </c>
      <c r="C51" s="25" t="str">
        <f>IF(OR(B51=0,B51=""),"",'Treasury Payments&amp;Accounting'!$A$2)</f>
        <v/>
      </c>
    </row>
    <row r="52" spans="1:3" x14ac:dyDescent="0.25">
      <c r="A52" t="s">
        <v>197</v>
      </c>
      <c r="B52" s="24">
        <f>IFERROR(ABS(INDEX(RECON!$E:$E,MATCH(A52,RECON!$I:$I,0))),"")</f>
        <v>0</v>
      </c>
      <c r="C52" s="25" t="str">
        <f>IF(OR(B52=0,B52=""),"",'Treasury Payments&amp;Accounting'!$A$2)</f>
        <v/>
      </c>
    </row>
    <row r="53" spans="1:3" x14ac:dyDescent="0.25">
      <c r="A53" t="s">
        <v>449</v>
      </c>
      <c r="B53" s="24">
        <f>IFERROR(ABS(INDEX(RECON!$E:$E,MATCH(A53,RECON!$I:$I,0))),"")</f>
        <v>0</v>
      </c>
      <c r="C53" s="25" t="str">
        <f>IF(OR(B53=0,B53=""),"",'Treasury Payments&amp;Accounting'!$A$2)</f>
        <v/>
      </c>
    </row>
    <row r="54" spans="1:3" x14ac:dyDescent="0.25">
      <c r="A54" t="s">
        <v>457</v>
      </c>
      <c r="B54" s="24">
        <f>IFERROR(ABS(INDEX(RECON!$E:$E,MATCH(A54,RECON!$I:$I,0))),"")</f>
        <v>0</v>
      </c>
      <c r="C54" s="25" t="str">
        <f>IF(OR(B54=0,B54=""),"",'Treasury Payments&amp;Accounting'!$A$2)</f>
        <v/>
      </c>
    </row>
    <row r="55" spans="1:3" x14ac:dyDescent="0.25">
      <c r="A55" t="s">
        <v>389</v>
      </c>
      <c r="B55" s="24">
        <f>IFERROR(ABS(INDEX(RECON!$E:$E,MATCH(A55,RECON!$I:$I,0))),"")</f>
        <v>0</v>
      </c>
      <c r="C55" s="25" t="str">
        <f>IF(OR(B55=0,B55=""),"",'Treasury Payments&amp;Accounting'!$A$2)</f>
        <v/>
      </c>
    </row>
    <row r="56" spans="1:3" x14ac:dyDescent="0.25">
      <c r="A56" t="s">
        <v>337</v>
      </c>
      <c r="B56" s="24">
        <f>IFERROR(ABS(INDEX(RECON!$E:$E,MATCH(A56,RECON!$I:$I,0))),"")</f>
        <v>0</v>
      </c>
      <c r="C56" s="25" t="str">
        <f>IF(OR(B56=0,B56=""),"",'Treasury Payments&amp;Accounting'!$A$2)</f>
        <v/>
      </c>
    </row>
    <row r="57" spans="1:3" x14ac:dyDescent="0.25">
      <c r="A57" t="s">
        <v>347</v>
      </c>
      <c r="B57" s="24">
        <f>IFERROR(ABS(INDEX(RECON!$E:$E,MATCH(A57,RECON!$I:$I,0))),"")</f>
        <v>9.44</v>
      </c>
      <c r="C57" s="25">
        <f ca="1">IF(OR(B57=0,B57=""),"",'Treasury Payments&amp;Accounting'!$A$2)</f>
        <v>46303</v>
      </c>
    </row>
    <row r="58" spans="1:3" x14ac:dyDescent="0.25">
      <c r="A58" t="s">
        <v>260</v>
      </c>
      <c r="B58" s="24">
        <f>IFERROR(ABS(INDEX(RECON!$E:$E,MATCH(A58,RECON!$I:$I,0))),"")</f>
        <v>0</v>
      </c>
      <c r="C58" s="25" t="str">
        <f>IF(OR(B58=0,B58=""),"",'Treasury Payments&amp;Accounting'!$A$2)</f>
        <v/>
      </c>
    </row>
    <row r="59" spans="1:3" x14ac:dyDescent="0.25">
      <c r="A59" t="s">
        <v>167</v>
      </c>
      <c r="B59" s="24">
        <f>IFERROR(ABS(INDEX(RECON!$E:$E,MATCH(A59,RECON!$I:$I,0))),"")</f>
        <v>1722144.86</v>
      </c>
      <c r="C59" s="25">
        <f ca="1">IF(OR(B59=0,B59=""),"",'Treasury Payments&amp;Accounting'!$A$2)</f>
        <v>46303</v>
      </c>
    </row>
    <row r="60" spans="1:3" x14ac:dyDescent="0.25">
      <c r="A60" t="s">
        <v>179</v>
      </c>
      <c r="B60" s="24">
        <f>IFERROR(ABS(INDEX(RECON!$E:$E,MATCH(A60,RECON!$I:$I,0))),"")</f>
        <v>2058899.04</v>
      </c>
      <c r="C60" s="25">
        <f ca="1">IF(OR(B60=0,B60=""),"",'Treasury Payments&amp;Accounting'!$A$2)</f>
        <v>46303</v>
      </c>
    </row>
    <row r="61" spans="1:3" x14ac:dyDescent="0.25">
      <c r="A61" t="s">
        <v>327</v>
      </c>
      <c r="B61" s="24">
        <f>IFERROR(ABS(INDEX(RECON!$E:$E,MATCH(A61,RECON!$I:$I,0))),"")</f>
        <v>0</v>
      </c>
      <c r="C61" s="25" t="str">
        <f>IF(OR(B61=0,B61=""),"",'Treasury Payments&amp;Accounting'!$A$2)</f>
        <v/>
      </c>
    </row>
    <row r="62" spans="1:3" x14ac:dyDescent="0.25">
      <c r="A62" t="s">
        <v>227</v>
      </c>
      <c r="B62" s="24">
        <f>IFERROR(ABS(INDEX(RECON!$E:$E,MATCH(A62,RECON!$I:$I,0))),"")</f>
        <v>521915</v>
      </c>
      <c r="C62" s="25">
        <f ca="1">IF(OR(B62=0,B62=""),"",'Treasury Payments&amp;Accounting'!$A$2)</f>
        <v>46303</v>
      </c>
    </row>
    <row r="63" spans="1:3" x14ac:dyDescent="0.25">
      <c r="A63" t="s">
        <v>218</v>
      </c>
      <c r="B63" s="24">
        <f>IFERROR(ABS(INDEX(RECON!$E:$E,MATCH(A63,RECON!$I:$I,0))),"")</f>
        <v>0</v>
      </c>
      <c r="C63" s="25" t="str">
        <f>IF(OR(B63=0,B63=""),"",'Treasury Payments&amp;Accounting'!$A$2)</f>
        <v/>
      </c>
    </row>
    <row r="64" spans="1:3" x14ac:dyDescent="0.25">
      <c r="A64" t="s">
        <v>89</v>
      </c>
      <c r="B64" s="24">
        <f>IFERROR(ABS(INDEX(RECON!$E:$E,MATCH(A64,RECON!$I:$I,0))),"")</f>
        <v>145362</v>
      </c>
      <c r="C64" s="25">
        <f ca="1">IF(OR(B64=0,B64=""),"",'Treasury Payments&amp;Accounting'!$A$2)</f>
        <v>46303</v>
      </c>
    </row>
    <row r="65" spans="1:3" x14ac:dyDescent="0.25">
      <c r="A65" t="s">
        <v>365</v>
      </c>
      <c r="B65" s="24">
        <f>IFERROR(ABS(INDEX(RECON!$E:$E,MATCH(A65,RECON!$I:$I,0))),"")</f>
        <v>0</v>
      </c>
      <c r="C65" s="25" t="str">
        <f>IF(OR(B65=0,B65=""),"",'Treasury Payments&amp;Accounting'!$A$2)</f>
        <v/>
      </c>
    </row>
    <row r="66" spans="1:3" x14ac:dyDescent="0.25">
      <c r="A66" t="s">
        <v>281</v>
      </c>
      <c r="B66" s="24">
        <f>IFERROR(ABS(INDEX(RECON!$E:$E,MATCH(A66,RECON!$I:$I,0))),"")</f>
        <v>0</v>
      </c>
      <c r="C66" s="25" t="str">
        <f>IF(OR(B66=0,B66=""),"",'Treasury Payments&amp;Accounting'!$A$2)</f>
        <v/>
      </c>
    </row>
    <row r="67" spans="1:3" x14ac:dyDescent="0.25">
      <c r="A67" t="s">
        <v>231</v>
      </c>
      <c r="B67" s="24">
        <f>IFERROR(ABS(INDEX(RECON!$E:$E,MATCH(A67,RECON!$I:$I,0))),"")</f>
        <v>1196928.8400000001</v>
      </c>
      <c r="C67" s="25">
        <f ca="1">IF(OR(B67=0,B67=""),"",'Treasury Payments&amp;Accounting'!$A$2)</f>
        <v>46303</v>
      </c>
    </row>
    <row r="68" spans="1:3" x14ac:dyDescent="0.25">
      <c r="A68" t="s">
        <v>393</v>
      </c>
      <c r="B68" s="24">
        <f>IFERROR(ABS(INDEX(RECON!$E:$E,MATCH(A68,RECON!$I:$I,0))),"")</f>
        <v>529192.75</v>
      </c>
      <c r="C68" s="25">
        <f ca="1">IF(OR(B68=0,B68=""),"",'Treasury Payments&amp;Accounting'!$A$2)</f>
        <v>46303</v>
      </c>
    </row>
    <row r="69" spans="1:3" x14ac:dyDescent="0.25">
      <c r="A69" t="s">
        <v>377</v>
      </c>
      <c r="B69" s="24">
        <f>IFERROR(ABS(INDEX(RECON!$E:$E,MATCH(A69,RECON!$I:$I,0))),"")</f>
        <v>0</v>
      </c>
      <c r="C69" s="25" t="str">
        <f>IF(OR(B69=0,B69=""),"",'Treasury Payments&amp;Accounting'!$A$2)</f>
        <v/>
      </c>
    </row>
    <row r="70" spans="1:3" x14ac:dyDescent="0.25">
      <c r="A70" t="s">
        <v>272</v>
      </c>
      <c r="B70" s="24">
        <f>IFERROR(ABS(INDEX(RECON!$E:$E,MATCH(A70,RECON!$I:$I,0))),"")</f>
        <v>41244</v>
      </c>
      <c r="C70" s="25">
        <f ca="1">IF(OR(B70=0,B70=""),"",'Treasury Payments&amp;Accounting'!$A$2)</f>
        <v>46303</v>
      </c>
    </row>
    <row r="71" spans="1:3" x14ac:dyDescent="0.25">
      <c r="A71" t="s">
        <v>373</v>
      </c>
      <c r="B71" s="24">
        <f>IFERROR(ABS(INDEX(RECON!$E:$E,MATCH(A71,RECON!$I:$I,0))),"")</f>
        <v>0</v>
      </c>
      <c r="C71" s="25" t="str">
        <f>IF(OR(B71=0,B71=""),"",'Treasury Payments&amp;Accounting'!$A$2)</f>
        <v/>
      </c>
    </row>
    <row r="72" spans="1:3" x14ac:dyDescent="0.25">
      <c r="A72" t="s">
        <v>223</v>
      </c>
      <c r="B72" s="24">
        <f>IFERROR(ABS(INDEX(RECON!$E:$E,MATCH(A72,RECON!$I:$I,0))),"")</f>
        <v>364249.41</v>
      </c>
      <c r="C72" s="25">
        <f ca="1">IF(OR(B72=0,B72=""),"",'Treasury Payments&amp;Accounting'!$A$2)</f>
        <v>46303</v>
      </c>
    </row>
    <row r="73" spans="1:3" x14ac:dyDescent="0.25">
      <c r="A73" t="s">
        <v>381</v>
      </c>
      <c r="B73" s="24">
        <f>IFERROR(ABS(INDEX(RECON!$E:$E,MATCH(A73,RECON!$I:$I,0))),"")</f>
        <v>0</v>
      </c>
      <c r="C73" s="25" t="str">
        <f>IF(OR(B73=0,B73=""),"",'Treasury Payments&amp;Accounting'!$A$2)</f>
        <v/>
      </c>
    </row>
    <row r="74" spans="1:3" x14ac:dyDescent="0.25">
      <c r="A74" t="s">
        <v>294</v>
      </c>
      <c r="B74" s="24">
        <f>IFERROR(ABS(INDEX(RECON!$E:$E,MATCH(A74,RECON!$I:$I,0))),"")</f>
        <v>19822.84</v>
      </c>
      <c r="C74" s="25">
        <f ca="1">IF(OR(B74=0,B74=""),"",'Treasury Payments&amp;Accounting'!$A$2)</f>
        <v>46303</v>
      </c>
    </row>
    <row r="75" spans="1:3" x14ac:dyDescent="0.25">
      <c r="A75" t="s">
        <v>355</v>
      </c>
      <c r="B75" s="24">
        <f>IFERROR(ABS(INDEX(RECON!$E:$E,MATCH(A75,RECON!$I:$I,0))),"")</f>
        <v>10026.69</v>
      </c>
      <c r="C75" s="25">
        <f ca="1">IF(OR(B75=0,B75=""),"",'Treasury Payments&amp;Accounting'!$A$2)</f>
        <v>46303</v>
      </c>
    </row>
    <row r="76" spans="1:3" x14ac:dyDescent="0.25">
      <c r="A76" t="s">
        <v>49</v>
      </c>
      <c r="B76" s="24">
        <f>IFERROR(ABS(INDEX(RECON!$E:$E,MATCH(A76,RECON!$I:$I,0))),"")</f>
        <v>0</v>
      </c>
      <c r="C76" s="25" t="str">
        <f>IF(OR(B76=0,B76=""),"",'Treasury Payments&amp;Accounting'!$A$2)</f>
        <v/>
      </c>
    </row>
    <row r="77" spans="1:3" x14ac:dyDescent="0.25">
      <c r="A77" t="s">
        <v>134</v>
      </c>
      <c r="B77" s="24">
        <f>IFERROR(ABS(INDEX(RECON!$E:$E,MATCH(A77,RECON!$I:$I,0))),"")</f>
        <v>3013.76</v>
      </c>
      <c r="C77" s="25">
        <f ca="1">IF(OR(B77=0,B77=""),"",'Treasury Payments&amp;Accounting'!$A$2)</f>
        <v>46303</v>
      </c>
    </row>
    <row r="78" spans="1:3" x14ac:dyDescent="0.25">
      <c r="A78" t="s">
        <v>144</v>
      </c>
      <c r="B78" s="24">
        <f>IFERROR(ABS(INDEX(RECON!$E:$E,MATCH(A78,RECON!$I:$I,0))),"")</f>
        <v>0</v>
      </c>
      <c r="C78" s="25" t="str">
        <f>IF(OR(B78=0,B78=""),"",'Treasury Payments&amp;Accounting'!$A$2)</f>
        <v/>
      </c>
    </row>
    <row r="79" spans="1:3" x14ac:dyDescent="0.25">
      <c r="A79" t="s">
        <v>213</v>
      </c>
      <c r="B79" s="24">
        <f>IFERROR(ABS(INDEX(RECON!$E:$E,MATCH(A79,RECON!$I:$I,0))),"")</f>
        <v>0</v>
      </c>
      <c r="C79" s="25" t="str">
        <f>IF(OR(B79=0,B79=""),"",'Treasury Payments&amp;Accounting'!$A$2)</f>
        <v/>
      </c>
    </row>
    <row r="80" spans="1:3" x14ac:dyDescent="0.25">
      <c r="A80" t="s">
        <v>148</v>
      </c>
      <c r="B80" s="24">
        <f>IFERROR(ABS(INDEX(RECON!$E:$E,MATCH(A80,RECON!$I:$I,0))),"")</f>
        <v>0</v>
      </c>
      <c r="C80" s="25" t="str">
        <f>IF(OR(B80=0,B80=""),"",'Treasury Payments&amp;Accounting'!$A$2)</f>
        <v/>
      </c>
    </row>
    <row r="81" spans="1:3" x14ac:dyDescent="0.25">
      <c r="A81" t="s">
        <v>155</v>
      </c>
      <c r="B81" s="24">
        <f>IFERROR(ABS(INDEX(RECON!$E:$E,MATCH(A81,RECON!$I:$I,0))),"")</f>
        <v>0</v>
      </c>
      <c r="C81" s="25" t="str">
        <f>IF(OR(B81=0,B81=""),"",'Treasury Payments&amp;Accounting'!$A$2)</f>
        <v/>
      </c>
    </row>
    <row r="82" spans="1:3" x14ac:dyDescent="0.25">
      <c r="A82" t="s">
        <v>57</v>
      </c>
      <c r="B82" s="24">
        <f>IFERROR(ABS(INDEX(RECON!$E:$E,MATCH(A82,RECON!$I:$I,0))),"")</f>
        <v>191777.97</v>
      </c>
      <c r="C82" s="25">
        <f ca="1">IF(OR(B82=0,B82=""),"",'Treasury Payments&amp;Accounting'!$A$2)</f>
        <v>46303</v>
      </c>
    </row>
    <row r="83" spans="1:3" x14ac:dyDescent="0.25">
      <c r="A83" t="s">
        <v>159</v>
      </c>
      <c r="B83" s="24">
        <f>IFERROR(ABS(INDEX(RECON!$E:$E,MATCH(A83,RECON!$I:$I,0))),"")</f>
        <v>38287.9</v>
      </c>
      <c r="C83" s="25">
        <f ca="1">IF(OR(B83=0,B83=""),"",'Treasury Payments&amp;Accounting'!$A$2)</f>
        <v>46303</v>
      </c>
    </row>
    <row r="84" spans="1:3" x14ac:dyDescent="0.25">
      <c r="A84" t="s">
        <v>140</v>
      </c>
      <c r="B84" s="24">
        <f>IFERROR(ABS(INDEX(RECON!$E:$E,MATCH(A84,RECON!$I:$I,0))),"")</f>
        <v>0</v>
      </c>
      <c r="C84" s="25" t="str">
        <f>IF(OR(B84=0,B84=""),"",'Treasury Payments&amp;Accounting'!$A$2)</f>
        <v/>
      </c>
    </row>
    <row r="85" spans="1:3" x14ac:dyDescent="0.25">
      <c r="A85" t="s">
        <v>163</v>
      </c>
      <c r="B85" s="24">
        <f>IFERROR(ABS(INDEX(RECON!$E:$E,MATCH(A85,RECON!$I:$I,0))),"")</f>
        <v>4840848.57</v>
      </c>
      <c r="C85" s="25">
        <f ca="1">IF(OR(B85=0,B85=""),"",'Treasury Payments&amp;Accounting'!$A$2)</f>
        <v>46303</v>
      </c>
    </row>
    <row r="86" spans="1:3" x14ac:dyDescent="0.25">
      <c r="A86" t="s">
        <v>171</v>
      </c>
      <c r="B86" s="24">
        <f>IFERROR(ABS(INDEX(RECON!$E:$E,MATCH(A86,RECON!$I:$I,0))),"")</f>
        <v>44240.47</v>
      </c>
      <c r="C86" s="25">
        <f ca="1">IF(OR(B86=0,B86=""),"",'Treasury Payments&amp;Accounting'!$A$2)</f>
        <v>46303</v>
      </c>
    </row>
    <row r="87" spans="1:3" x14ac:dyDescent="0.25">
      <c r="A87" t="s">
        <v>277</v>
      </c>
      <c r="B87" s="24">
        <f>IFERROR(ABS(INDEX(RECON!$E:$E,MATCH(A87,RECON!$I:$I,0))),"")</f>
        <v>18774</v>
      </c>
      <c r="C87" s="25">
        <f ca="1">IF(OR(B87=0,B87=""),"",'Treasury Payments&amp;Accounting'!$A$2)</f>
        <v>46303</v>
      </c>
    </row>
    <row r="88" spans="1:3" x14ac:dyDescent="0.25">
      <c r="A88" t="s">
        <v>369</v>
      </c>
      <c r="B88" s="24">
        <f>IFERROR(ABS(INDEX(RECON!$E:$E,MATCH(A88,RECON!$I:$I,0))),"")</f>
        <v>0</v>
      </c>
      <c r="C88" s="25" t="str">
        <f>IF(OR(B88=0,B88=""),"",'Treasury Payments&amp;Accounting'!$A$2)</f>
        <v/>
      </c>
    </row>
    <row r="89" spans="1:3" x14ac:dyDescent="0.25">
      <c r="A89" t="s">
        <v>79</v>
      </c>
      <c r="B89" s="24">
        <f>IFERROR(ABS(INDEX(RECON!$E:$E,MATCH(A89,RECON!$I:$I,0))),"")</f>
        <v>1211446</v>
      </c>
      <c r="C89" s="25">
        <f ca="1">IF(OR(B89=0,B89=""),"",'Treasury Payments&amp;Accounting'!$A$2)</f>
        <v>46303</v>
      </c>
    </row>
    <row r="90" spans="1:3" x14ac:dyDescent="0.25">
      <c r="A90" t="s">
        <v>187</v>
      </c>
      <c r="B90" s="24">
        <f>IFERROR(ABS(INDEX(RECON!$E:$E,MATCH(A90,RECON!$I:$I,0))),"")</f>
        <v>0</v>
      </c>
      <c r="C90" s="25" t="str">
        <f>IF(OR(B90=0,B90=""),"",'Treasury Payments&amp;Accounting'!$A$2)</f>
        <v/>
      </c>
    </row>
    <row r="91" spans="1:3" x14ac:dyDescent="0.25">
      <c r="A91" t="s">
        <v>128</v>
      </c>
      <c r="B91" s="24">
        <f>IFERROR(ABS(INDEX(RECON!$E:$E,MATCH(A91,RECON!$I:$I,0))),"")</f>
        <v>0</v>
      </c>
      <c r="C91" s="25" t="str">
        <f>IF(OR(B91=0,B91=""),"",'Treasury Payments&amp;Accounting'!$A$2)</f>
        <v/>
      </c>
    </row>
    <row r="92" spans="1:3" x14ac:dyDescent="0.25">
      <c r="A92" t="s">
        <v>152</v>
      </c>
      <c r="B92" s="24">
        <f>IFERROR(ABS(INDEX(RECON!$E:$E,MATCH(A92,RECON!$I:$I,0))),"")</f>
        <v>0</v>
      </c>
      <c r="C92" s="25" t="str">
        <f>IF(OR(B92=0,B92=""),"",'Treasury Payments&amp;Accounting'!$A$2)</f>
        <v/>
      </c>
    </row>
    <row r="93" spans="1:3" x14ac:dyDescent="0.25">
      <c r="A93" t="s">
        <v>285</v>
      </c>
      <c r="B93" s="24">
        <f>IFERROR(ABS(INDEX(RECON!$E:$E,MATCH(A93,RECON!$I:$I,0))),"")</f>
        <v>0</v>
      </c>
      <c r="C93" s="25" t="str">
        <f>IF(OR(B93=0,B93=""),"",'Treasury Payments&amp;Accounting'!$A$2)</f>
        <v/>
      </c>
    </row>
    <row r="94" spans="1:3" x14ac:dyDescent="0.25">
      <c r="A94" t="s">
        <v>175</v>
      </c>
      <c r="B94" s="24">
        <f>IFERROR(ABS(INDEX(RECON!$E:$E,MATCH(A94,RECON!$I:$I,0))),"")</f>
        <v>171804.95</v>
      </c>
      <c r="C94" s="25">
        <f ca="1">IF(OR(B94=0,B94=""),"",'Treasury Payments&amp;Accounting'!$A$2)</f>
        <v>46303</v>
      </c>
    </row>
    <row r="95" spans="1:3" x14ac:dyDescent="0.25">
      <c r="A95" t="s">
        <v>183</v>
      </c>
      <c r="B95" s="24">
        <f>IFERROR(ABS(INDEX(RECON!$E:$E,MATCH(A95,RECON!$I:$I,0))),"")</f>
        <v>1398577.37</v>
      </c>
      <c r="C95" s="25">
        <f ca="1">IF(OR(B95=0,B95=""),"",'Treasury Payments&amp;Accounting'!$A$2)</f>
        <v>46303</v>
      </c>
    </row>
    <row r="96" spans="1:3" x14ac:dyDescent="0.25">
      <c r="A96" t="s">
        <v>397</v>
      </c>
      <c r="B96" s="24">
        <f>IFERROR(ABS(INDEX(RECON!$E:$E,MATCH(A96,RECON!$I:$I,0))),"")</f>
        <v>0</v>
      </c>
      <c r="C96" s="25" t="str">
        <f>IF(OR(B96=0,B96=""),"",'Treasury Payments&amp;Accounting'!$A$2)</f>
        <v/>
      </c>
    </row>
    <row r="97" spans="1:3" x14ac:dyDescent="0.25">
      <c r="A97" t="s">
        <v>314</v>
      </c>
      <c r="B97" s="24">
        <f>IFERROR(ABS(INDEX(RECON!$E:$E,MATCH(A97,RECON!$I:$I,0))),"")</f>
        <v>112811</v>
      </c>
      <c r="C97" s="25">
        <f ca="1">IF(OR(B97=0,B97=""),"",'Treasury Payments&amp;Accounting'!$A$2)</f>
        <v>46303</v>
      </c>
    </row>
    <row r="98" spans="1:3" x14ac:dyDescent="0.25">
      <c r="A98" t="s">
        <v>323</v>
      </c>
      <c r="B98" s="24">
        <f>IFERROR(ABS(INDEX(RECON!$E:$E,MATCH(A98,RECON!$I:$I,0))),"")</f>
        <v>2927508.61</v>
      </c>
      <c r="C98" s="25">
        <f ca="1">IF(OR(B98=0,B98=""),"",'Treasury Payments&amp;Accounting'!$A$2)</f>
        <v>46303</v>
      </c>
    </row>
    <row r="100" spans="1:3" x14ac:dyDescent="0.25">
      <c r="A100" s="60" t="s">
        <v>538</v>
      </c>
      <c r="B100" s="60">
        <f>COUNTIF(B2:B98,"&gt;0")</f>
        <v>42</v>
      </c>
    </row>
    <row r="101" spans="1:3" x14ac:dyDescent="0.25">
      <c r="A101" s="60" t="s">
        <v>539</v>
      </c>
      <c r="B101" s="61">
        <f>SUM(B2:B98)</f>
        <v>29206217.120000001</v>
      </c>
    </row>
    <row r="102" spans="1:3" x14ac:dyDescent="0.25">
      <c r="A102" s="63"/>
    </row>
    <row r="103" spans="1:3" x14ac:dyDescent="0.25">
      <c r="A103" s="70" t="s">
        <v>1052</v>
      </c>
    </row>
    <row r="226" spans="1:3" x14ac:dyDescent="0.25">
      <c r="A226" t="s">
        <v>131</v>
      </c>
      <c r="B226" t="str">
        <f>IFERROR(ABS(INDEX(RECON!$E:$E,MATCH(A226,RECON!$I:$I,0))),"")</f>
        <v/>
      </c>
      <c r="C226" s="25" t="str">
        <f>IF(OR(B226=0,B226=""),"",D$1)</f>
        <v/>
      </c>
    </row>
    <row r="247" spans="1:1" x14ac:dyDescent="0.25">
      <c r="A247" s="2"/>
    </row>
  </sheetData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O80"/>
  <sheetViews>
    <sheetView workbookViewId="0"/>
  </sheetViews>
  <sheetFormatPr defaultRowHeight="15" x14ac:dyDescent="0.25"/>
  <cols>
    <col min="1" max="1" width="15.5703125" bestFit="1" customWidth="1"/>
    <col min="2" max="2" width="5.5703125" bestFit="1" customWidth="1"/>
    <col min="3" max="3" width="11" bestFit="1" customWidth="1"/>
    <col min="4" max="4" width="18.5703125" bestFit="1" customWidth="1"/>
    <col min="5" max="6" width="14.5703125" bestFit="1" customWidth="1"/>
    <col min="7" max="7" width="11.5703125" bestFit="1" customWidth="1"/>
  </cols>
  <sheetData>
    <row r="1" spans="1:41" x14ac:dyDescent="0.25">
      <c r="A1" t="s">
        <v>1053</v>
      </c>
      <c r="B1" t="s">
        <v>594</v>
      </c>
      <c r="C1" t="s">
        <v>1054</v>
      </c>
      <c r="D1" t="s">
        <v>596</v>
      </c>
      <c r="E1" t="s">
        <v>597</v>
      </c>
      <c r="F1" t="s">
        <v>598</v>
      </c>
      <c r="G1" t="s">
        <v>599</v>
      </c>
      <c r="AO1" t="e">
        <f>IF(G80=0,"SAP IN BALANCE","SAP OUT OF BALANCE")</f>
        <v>#N/A</v>
      </c>
    </row>
    <row r="2" spans="1:41" x14ac:dyDescent="0.25">
      <c r="A2" t="s">
        <v>603</v>
      </c>
      <c r="B2">
        <f>IF(ISERROR(VLOOKUP(BAL!A2,SAP!$1:$1048576,3,FALSE)=1),0,(VLOOKUP(BAL!A2,SAP!$1:$1048576,3,FALSE)))</f>
        <v>1000</v>
      </c>
      <c r="C2">
        <f>VLOOKUP(BAL!$A2,SAP!$1:$1048576,4,FALSE)</f>
        <v>1301080001</v>
      </c>
      <c r="D2" t="str">
        <f>VLOOKUP(BAL!$A2,SAP!$1:$1048576,5,FALSE)</f>
        <v>I/CAFLACCol</v>
      </c>
      <c r="E2" s="5">
        <f>VLOOKUP(BAL!$A2,SAP!$1:$1048576,7,FALSE)</f>
        <v>0</v>
      </c>
      <c r="F2" s="5">
        <f>VLOOKUP(BAL!$A2,SAP!$1:$1048576,9,FALSE)</f>
        <v>0</v>
      </c>
      <c r="G2" s="5">
        <f>VLOOKUP(BAL!$A2,SAP!$1:$1048576,114,FALSE)</f>
        <v>0</v>
      </c>
      <c r="I2" s="7" t="s">
        <v>1055</v>
      </c>
      <c r="AO2" t="e">
        <f>IF(#REF!&lt;&gt;0,"RECON OUT OF BALANCE","RECON IN BALANCE")</f>
        <v>#REF!</v>
      </c>
    </row>
    <row r="3" spans="1:41" ht="15.75" customHeight="1" x14ac:dyDescent="0.25">
      <c r="A3" t="s">
        <v>77</v>
      </c>
      <c r="B3">
        <f>VLOOKUP(BAL!A3,SAP!$1:$1048576,3,FALSE)</f>
        <v>1000</v>
      </c>
      <c r="C3">
        <f>VLOOKUP(BAL!$A3,SAP!$1:$1048576,4,FALSE)</f>
        <v>1301080004</v>
      </c>
      <c r="D3" t="str">
        <f>VLOOKUP(BAL!$A3,SAP!$1:$1048576,5,FALSE)</f>
        <v>I/CAflacGroup</v>
      </c>
      <c r="E3" s="5">
        <f>VLOOKUP(BAL!$A3,SAP!$1:$1048576,7,FALSE)</f>
        <v>1211446</v>
      </c>
      <c r="F3" s="5">
        <f>VLOOKUP(BAL!$A3,SAP!$1:$1048576,9,FALSE)</f>
        <v>0</v>
      </c>
      <c r="G3" s="5">
        <f>VLOOKUP(BAL!$A3,SAP!$1:$1048576,114,FALSE)</f>
        <v>0</v>
      </c>
      <c r="I3" s="4"/>
      <c r="J3" s="1"/>
      <c r="K3" s="4"/>
      <c r="L3" s="1"/>
      <c r="M3" s="4"/>
      <c r="N3" s="1"/>
      <c r="AO3" t="e">
        <f>IF(#REF!=BAL!E80,"RECON = SAP BALANCE", "RECON AND SAP NOT IN BALANCE")</f>
        <v>#REF!</v>
      </c>
    </row>
    <row r="4" spans="1:41" ht="15.75" customHeight="1" x14ac:dyDescent="0.25">
      <c r="A4" t="s">
        <v>17</v>
      </c>
      <c r="B4">
        <f>VLOOKUP(BAL!A4,SAP!$1:$1048576,3,FALSE)</f>
        <v>1000</v>
      </c>
      <c r="C4">
        <f>VLOOKUP(BAL!$A4,SAP!$1:$1048576,4,FALSE)</f>
        <v>1301150001</v>
      </c>
      <c r="D4" t="str">
        <f>VLOOKUP(BAL!$A4,SAP!$1:$1048576,5,FALSE)</f>
        <v>I/CAflacInt'l</v>
      </c>
      <c r="E4" s="5">
        <f>VLOOKUP(BAL!$A4,SAP!$1:$1048576,7,FALSE)</f>
        <v>47844.89</v>
      </c>
      <c r="F4" s="5">
        <f>VLOOKUP(BAL!$A4,SAP!$1:$1048576,9,FALSE)</f>
        <v>0</v>
      </c>
      <c r="G4" s="5">
        <f>VLOOKUP(BAL!$A4,SAP!$1:$1048576,114,FALSE)</f>
        <v>0</v>
      </c>
      <c r="I4" s="6" t="s">
        <v>1056</v>
      </c>
      <c r="J4" s="1"/>
      <c r="K4" s="4"/>
      <c r="L4" s="1"/>
      <c r="M4" s="4"/>
      <c r="N4" s="1"/>
      <c r="AO4" t="e">
        <f>IF(#REF!=0,"ZTRF IN BALANCE", "ZTRF OUT OF BALANCE")</f>
        <v>#REF!</v>
      </c>
    </row>
    <row r="5" spans="1:41" ht="15.75" customHeight="1" x14ac:dyDescent="0.25">
      <c r="A5" t="s">
        <v>37</v>
      </c>
      <c r="B5">
        <f>VLOOKUP(BAL!A5,SAP!$1:$1048576,3,FALSE)</f>
        <v>1000</v>
      </c>
      <c r="C5">
        <f>VLOOKUP(BAL!$A5,SAP!$1:$1048576,4,FALSE)</f>
        <v>1301120004</v>
      </c>
      <c r="D5" t="str">
        <f>VLOOKUP(BAL!$A5,SAP!$1:$1048576,5,FALSE)</f>
        <v>I/CAFLACIT</v>
      </c>
      <c r="E5" s="5">
        <f>VLOOKUP(BAL!$A5,SAP!$1:$1048576,7,FALSE)</f>
        <v>0</v>
      </c>
      <c r="F5" s="5">
        <f>VLOOKUP(BAL!$A5,SAP!$1:$1048576,9,FALSE)</f>
        <v>0</v>
      </c>
      <c r="G5" s="5">
        <f>VLOOKUP(BAL!$A5,SAP!$1:$1048576,114,FALSE)</f>
        <v>0</v>
      </c>
      <c r="I5" s="4" t="s">
        <v>1057</v>
      </c>
      <c r="J5" s="1"/>
      <c r="K5" s="4"/>
      <c r="L5" s="1"/>
      <c r="M5" s="4"/>
      <c r="N5" s="1"/>
    </row>
    <row r="6" spans="1:41" ht="15.75" customHeight="1" x14ac:dyDescent="0.25">
      <c r="A6" t="s">
        <v>59</v>
      </c>
      <c r="B6">
        <f>VLOOKUP(BAL!A6,SAP!$1:$1048576,3,FALSE)</f>
        <v>1000</v>
      </c>
      <c r="C6">
        <f>VLOOKUP(BAL!$A6,SAP!$1:$1048576,4,FALSE)</f>
        <v>1301080003</v>
      </c>
      <c r="D6" t="str">
        <f>VLOOKUP(BAL!$A6,SAP!$1:$1048576,5,FALSE)</f>
        <v>I/CAflacNY</v>
      </c>
      <c r="E6" s="5">
        <f>VLOOKUP(BAL!$A6,SAP!$1:$1048576,7,FALSE)</f>
        <v>191777.97</v>
      </c>
      <c r="F6" s="5">
        <f>VLOOKUP(BAL!$A6,SAP!$1:$1048576,9,FALSE)</f>
        <v>0</v>
      </c>
      <c r="G6" s="5">
        <f>VLOOKUP(BAL!$A6,SAP!$1:$1048576,114,FALSE)</f>
        <v>0</v>
      </c>
      <c r="I6" s="4" t="s">
        <v>1058</v>
      </c>
      <c r="J6" s="1"/>
      <c r="K6" s="4"/>
      <c r="L6" s="1"/>
      <c r="M6" s="4"/>
      <c r="N6" s="1"/>
    </row>
    <row r="7" spans="1:41" ht="15.75" customHeight="1" x14ac:dyDescent="0.25">
      <c r="A7" t="s">
        <v>47</v>
      </c>
      <c r="B7">
        <f>VLOOKUP(BAL!A7,SAP!$1:$1048576,3,FALSE)</f>
        <v>1000</v>
      </c>
      <c r="C7">
        <f>VLOOKUP(BAL!$A7,SAP!$1:$1048576,4,FALSE)</f>
        <v>1301110004</v>
      </c>
      <c r="D7" t="str">
        <f>VLOOKUP(BAL!$A7,SAP!$1:$1048576,5,FALSE)</f>
        <v>I/CoRecABS</v>
      </c>
      <c r="E7" s="5">
        <f>VLOOKUP(BAL!$A7,SAP!$1:$1048576,7,FALSE)</f>
        <v>0</v>
      </c>
      <c r="F7" s="5">
        <f>VLOOKUP(BAL!$A7,SAP!$1:$1048576,9,FALSE)</f>
        <v>0</v>
      </c>
      <c r="G7" s="5">
        <f>VLOOKUP(BAL!$A7,SAP!$1:$1048576,114,FALSE)</f>
        <v>0</v>
      </c>
      <c r="I7" s="4" t="s">
        <v>1059</v>
      </c>
      <c r="J7" s="1"/>
      <c r="K7" s="4"/>
      <c r="L7" s="1"/>
      <c r="M7" s="4"/>
      <c r="N7" s="1"/>
    </row>
    <row r="8" spans="1:41" ht="15.75" customHeight="1" x14ac:dyDescent="0.25">
      <c r="A8" t="s">
        <v>41</v>
      </c>
      <c r="B8">
        <f>IF(ISERROR(VLOOKUP(BAL!A8,SAP!$1:$1048576,3,FALSE)=1),0,(VLOOKUP(BAL!A8,SAP!$1:$1048576,3,FALSE)))</f>
        <v>0</v>
      </c>
      <c r="C8">
        <f>IF(ISERROR(VLOOKUP(BAL!$A8,SAP!1:1048576,4,FALSE)=1),0,((VLOOKUP(BAL!$A8,SAP!1:1048576,4,FALSE))))</f>
        <v>0</v>
      </c>
      <c r="D8">
        <f>IF(ISERROR(VLOOKUP(BAL!$A8,SAP!$1:$1048576,5,FALSE)=1),0,(VLOOKUP(BAL!$A8,SAP!$1:$1048576,5,FALSE)))</f>
        <v>0</v>
      </c>
      <c r="E8" s="5">
        <f>IF(ISERROR(VLOOKUP(BAL!$A8,SAP!$1:$1048576,7,FALSE)=1),0,(VLOOKUP(BAL!$A8,SAP!$1:$1048576,7,FALSE)))</f>
        <v>0</v>
      </c>
      <c r="F8" s="5">
        <f>IF(ISERROR(VLOOKUP(BAL!$A8,SAP!1:1048576,9,FALSE)=1),0,(ISERROR(VLOOKUP(BAL!$A8,SAP!1:1048576,9,FALSE))))</f>
        <v>0</v>
      </c>
      <c r="G8" s="5">
        <f>IF(ISERROR(VLOOKUP(BAL!$A8,SAP!$1:$1048576,114,FALSE)=1),0,(VLOOKUP(BAL!$A8,SAP!$1:$1048576,114,FALSE)))</f>
        <v>0</v>
      </c>
      <c r="I8" s="4" t="s">
        <v>1060</v>
      </c>
      <c r="J8" s="1"/>
      <c r="K8" s="4"/>
      <c r="L8" s="1"/>
      <c r="M8" s="4"/>
      <c r="N8" s="1"/>
    </row>
    <row r="9" spans="1:41" x14ac:dyDescent="0.25">
      <c r="A9" t="s">
        <v>1061</v>
      </c>
      <c r="B9" t="e">
        <f>VLOOKUP(BAL!A9,SAP!$1:$1048576,3,FALSE)</f>
        <v>#N/A</v>
      </c>
      <c r="C9" t="e">
        <f>VLOOKUP(BAL!$A9,SAP!$1:$1048576,4,FALSE)</f>
        <v>#N/A</v>
      </c>
      <c r="D9" t="e">
        <f>VLOOKUP(BAL!$A9,SAP!$1:$1048576,5,FALSE)</f>
        <v>#N/A</v>
      </c>
      <c r="E9" s="5" t="e">
        <f>VLOOKUP(BAL!$A9,SAP!$1:$1048576,7,FALSE)</f>
        <v>#N/A</v>
      </c>
      <c r="F9" s="5" t="e">
        <f>VLOOKUP(BAL!$A9,SAP!$1:$1048576,9,FALSE)</f>
        <v>#N/A</v>
      </c>
      <c r="G9" s="5" t="e">
        <f>VLOOKUP(BAL!$A9,SAP!$1:$1048576,114,FALSE)</f>
        <v>#N/A</v>
      </c>
    </row>
    <row r="10" spans="1:41" ht="15.75" customHeight="1" x14ac:dyDescent="0.25">
      <c r="A10" t="s">
        <v>9</v>
      </c>
      <c r="B10">
        <f>VLOOKUP(BAL!A10,SAP!$1:$1048576,3,FALSE)</f>
        <v>1000</v>
      </c>
      <c r="C10">
        <f>VLOOKUP(BAL!$A10,SAP!$1:$1048576,4,FALSE)</f>
        <v>2905024001</v>
      </c>
      <c r="D10" t="str">
        <f>VLOOKUP(BAL!$A10,SAP!$1:$1048576,5,FALSE)</f>
        <v>ICPayToAflIntlUS</v>
      </c>
      <c r="E10" s="5">
        <f>VLOOKUP(BAL!$A10,SAP!$1:$1048576,7,FALSE)</f>
        <v>0</v>
      </c>
      <c r="F10" s="5">
        <f>VLOOKUP(BAL!$A10,SAP!$1:$1048576,9,FALSE)</f>
        <v>24053.81</v>
      </c>
      <c r="G10" s="5">
        <f>VLOOKUP(BAL!$A10,SAP!$1:$1048576,114,FALSE)</f>
        <v>0</v>
      </c>
      <c r="X10" s="4"/>
      <c r="Y10" s="1"/>
    </row>
    <row r="11" spans="1:41" ht="15.75" customHeight="1" x14ac:dyDescent="0.25">
      <c r="A11" t="s">
        <v>51</v>
      </c>
      <c r="B11">
        <f>VLOOKUP(BAL!A11,SAP!$1:$1048576,3,FALSE)</f>
        <v>1000</v>
      </c>
      <c r="C11">
        <f>VLOOKUP(BAL!$A11,SAP!$1:$1048576,4,FALSE)</f>
        <v>2905022005</v>
      </c>
      <c r="D11" t="str">
        <f>VLOOKUP(BAL!$A11,SAP!$1:$1048576,5,FALSE)</f>
        <v>ICPayToAflNY</v>
      </c>
      <c r="E11" s="5">
        <f>VLOOKUP(BAL!$A11,SAP!$1:$1048576,7,FALSE)</f>
        <v>0</v>
      </c>
      <c r="F11" s="5">
        <f>VLOOKUP(BAL!$A11,SAP!$1:$1048576,9,FALSE)</f>
        <v>122815.64</v>
      </c>
      <c r="G11" s="5">
        <f>VLOOKUP(BAL!$A11,SAP!$1:$1048576,114,FALSE)</f>
        <v>0</v>
      </c>
      <c r="X11" s="4"/>
      <c r="Y11" s="1"/>
    </row>
    <row r="12" spans="1:41" ht="15.75" customHeight="1" x14ac:dyDescent="0.25">
      <c r="A12" t="s">
        <v>31</v>
      </c>
      <c r="B12">
        <f>IF(ISERROR(VLOOKUP(BAL!A12,SAP!$1:$1048576,3,FALSE)=1),0,(VLOOKUP(BAL!A12,SAP!$1:$1048576,3,FALSE)))</f>
        <v>1000</v>
      </c>
      <c r="C12">
        <f>IF(ISERROR(VLOOKUP(BAL!$A12,SAP!#REF!,4,FALSE)=1),0,((VLOOKUP(BAL!$A12,SAP!#REF!,4,FALSE))))</f>
        <v>0</v>
      </c>
      <c r="D12" t="str">
        <f>IF(ISERROR(VLOOKUP(BAL!$A12,SAP!$1:$1048576,5,FALSE)=1),0,(VLOOKUP(BAL!$A12,SAP!$1:$1048576,5,FALSE)))</f>
        <v>ICPayToAITPay</v>
      </c>
      <c r="E12" s="5">
        <f>IF(ISERROR(VLOOKUP(BAL!$A12,SAP!$1:$1048576,7,FALSE)=1),0,(VLOOKUP(BAL!$A12,SAP!$1:$1048576,7,FALSE)))</f>
        <v>0</v>
      </c>
      <c r="F12" s="5">
        <f>IF(ISERROR(VLOOKUP(BAL!$A12,SAP!#REF!,9,FALSE)=1),0,(ISERROR(VLOOKUP(BAL!$A12,SAP!#REF!,9,FALSE))))</f>
        <v>0</v>
      </c>
      <c r="G12" s="5">
        <f>IF(ISERROR(VLOOKUP(BAL!$A12,SAP!$1:$1048576,114,FALSE)=1),0,(VLOOKUP(BAL!$A12,SAP!$1:$1048576,114,FALSE)))</f>
        <v>0</v>
      </c>
      <c r="X12" s="4"/>
      <c r="Y12" s="1"/>
    </row>
    <row r="13" spans="1:41" ht="15.75" customHeight="1" x14ac:dyDescent="0.25">
      <c r="A13" t="s">
        <v>71</v>
      </c>
      <c r="B13">
        <f>VLOOKUP(BAL!A13,SAP!$1:$1048576,3,FALSE)</f>
        <v>1000</v>
      </c>
      <c r="C13">
        <f>VLOOKUP(BAL!$A13,SAP!$1:$1048576,4,FALSE)</f>
        <v>2905028001</v>
      </c>
      <c r="D13" t="str">
        <f>VLOOKUP(BAL!$A13,SAP!$1:$1048576,5,FALSE)</f>
        <v>ICToAflGroup</v>
      </c>
      <c r="E13" s="5">
        <f>VLOOKUP(BAL!$A13,SAP!$1:$1048576,7,FALSE)</f>
        <v>0</v>
      </c>
      <c r="F13" s="5">
        <f>VLOOKUP(BAL!$A13,SAP!$1:$1048576,9,FALSE)</f>
        <v>1463.94</v>
      </c>
      <c r="G13" s="5">
        <f>VLOOKUP(BAL!$A13,SAP!$1:$1048576,114,FALSE)</f>
        <v>0</v>
      </c>
      <c r="X13" s="4"/>
      <c r="Y13" s="1"/>
    </row>
    <row r="14" spans="1:41" ht="15.75" customHeight="1" x14ac:dyDescent="0.25">
      <c r="A14" t="s">
        <v>1062</v>
      </c>
      <c r="B14" t="e">
        <f>VLOOKUP(BAL!A14,SAP!$1:$1048576,3,FALSE)</f>
        <v>#N/A</v>
      </c>
      <c r="C14" t="e">
        <f>VLOOKUP(BAL!$A14,SAP!$1:$1048576,4,FALSE)</f>
        <v>#N/A</v>
      </c>
      <c r="D14" t="e">
        <f>VLOOKUP(BAL!$A14,SAP!$1:$1048576,5,FALSE)</f>
        <v>#N/A</v>
      </c>
      <c r="E14" s="5" t="e">
        <f>VLOOKUP(BAL!$A14,SAP!$1:$1048576,7,FALSE)</f>
        <v>#N/A</v>
      </c>
      <c r="F14" s="5" t="e">
        <f>VLOOKUP(BAL!$A14,SAP!$1:$1048576,9,FALSE)</f>
        <v>#N/A</v>
      </c>
      <c r="G14" s="5" t="e">
        <f>VLOOKUP(BAL!$A14,SAP!$1:$1048576,114,FALSE)</f>
        <v>#N/A</v>
      </c>
      <c r="X14" s="4"/>
      <c r="Y14" s="1"/>
    </row>
    <row r="15" spans="1:41" ht="15.75" customHeight="1" x14ac:dyDescent="0.25">
      <c r="A15" t="s">
        <v>1063</v>
      </c>
      <c r="B15" t="e">
        <f>VLOOKUP(BAL!A15,SAP!$1:$1048576,3,FALSE)</f>
        <v>#N/A</v>
      </c>
      <c r="C15" t="e">
        <f>VLOOKUP(BAL!$A15,SAP!$1:$1048576,4,FALSE)</f>
        <v>#N/A</v>
      </c>
      <c r="D15" t="e">
        <f>VLOOKUP(BAL!$A15,SAP!$1:$1048576,5,FALSE)</f>
        <v>#N/A</v>
      </c>
      <c r="E15" s="5" t="e">
        <f>VLOOKUP(BAL!$A15,SAP!$1:$1048576,7,FALSE)</f>
        <v>#N/A</v>
      </c>
      <c r="F15" s="5" t="e">
        <f>VLOOKUP(BAL!$A15,SAP!$1:$1048576,9,FALSE)</f>
        <v>#N/A</v>
      </c>
      <c r="G15" s="5" t="e">
        <f>VLOOKUP(BAL!$A15,SAP!$1:$1048576,114,FALSE)</f>
        <v>#N/A</v>
      </c>
      <c r="X15" s="4"/>
      <c r="Y15" s="1"/>
    </row>
    <row r="16" spans="1:41" x14ac:dyDescent="0.25">
      <c r="A16" t="s">
        <v>11</v>
      </c>
      <c r="B16">
        <f>VLOOKUP(BAL!A16,SAP!$1:$1048576,3,FALSE)</f>
        <v>1100</v>
      </c>
      <c r="C16">
        <f>VLOOKUP(BAL!$A16,SAP!$1:$1048576,4,FALSE)</f>
        <v>1301110001</v>
      </c>
      <c r="D16" t="str">
        <f>VLOOKUP(BAL!$A16,SAP!$1:$1048576,5,FALSE)</f>
        <v>I/CInc</v>
      </c>
      <c r="E16" s="5">
        <f>VLOOKUP(BAL!$A16,SAP!$1:$1048576,7,FALSE)</f>
        <v>24053.81</v>
      </c>
      <c r="F16" s="5">
        <f>VLOOKUP(BAL!$A16,SAP!$1:$1048576,9,FALSE)</f>
        <v>0</v>
      </c>
      <c r="G16" s="5">
        <f>VLOOKUP(BAL!$A16,SAP!$1:$1048576,114,FALSE)</f>
        <v>0</v>
      </c>
    </row>
    <row r="17" spans="1:7" x14ac:dyDescent="0.25">
      <c r="A17" t="s">
        <v>1064</v>
      </c>
      <c r="B17" t="e">
        <f>VLOOKUP(BAL!A17,SAP!$1:$1048576,3,FALSE)</f>
        <v>#N/A</v>
      </c>
      <c r="C17" t="e">
        <f>VLOOKUP(BAL!$A17,SAP!$1:$1048576,4,FALSE)</f>
        <v>#N/A</v>
      </c>
      <c r="D17" t="e">
        <f>VLOOKUP(BAL!$A17,SAP!$1:$1048576,5,FALSE)</f>
        <v>#N/A</v>
      </c>
      <c r="E17" s="5" t="e">
        <f>VLOOKUP(BAL!$A17,SAP!$1:$1048576,7,FALSE)</f>
        <v>#N/A</v>
      </c>
      <c r="F17" s="5" t="e">
        <f>VLOOKUP(BAL!$A17,SAP!$1:$1048576,9,FALSE)</f>
        <v>#N/A</v>
      </c>
      <c r="G17" s="5" t="e">
        <f>VLOOKUP(BAL!$A17,SAP!$1:$1048576,114,FALSE)</f>
        <v>#N/A</v>
      </c>
    </row>
    <row r="18" spans="1:7" x14ac:dyDescent="0.25">
      <c r="A18" t="s">
        <v>15</v>
      </c>
      <c r="B18">
        <f>VLOOKUP(BAL!A18,SAP!$1:$1048576,3,FALSE)</f>
        <v>1100</v>
      </c>
      <c r="C18">
        <f>VLOOKUP(BAL!$A18,SAP!$1:$1048576,4,FALSE)</f>
        <v>2905010001</v>
      </c>
      <c r="D18" t="str">
        <f>VLOOKUP(BAL!$A18,SAP!$1:$1048576,5,FALSE)</f>
        <v>ICPayToAflInc</v>
      </c>
      <c r="E18" s="5">
        <f>VLOOKUP(BAL!$A18,SAP!$1:$1048576,7,FALSE)</f>
        <v>0</v>
      </c>
      <c r="F18" s="5">
        <f>VLOOKUP(BAL!$A18,SAP!$1:$1048576,9,FALSE)</f>
        <v>47844.89</v>
      </c>
      <c r="G18" s="5">
        <f>VLOOKUP(BAL!$A18,SAP!$1:$1048576,114,FALSE)</f>
        <v>0</v>
      </c>
    </row>
    <row r="19" spans="1:7" x14ac:dyDescent="0.25">
      <c r="A19" t="s">
        <v>1065</v>
      </c>
      <c r="B19" t="e">
        <f>VLOOKUP(BAL!A19,SAP!$1:$1048576,3,FALSE)</f>
        <v>#N/A</v>
      </c>
      <c r="C19" t="e">
        <f>VLOOKUP(BAL!$A19,SAP!$1:$1048576,4,FALSE)</f>
        <v>#N/A</v>
      </c>
      <c r="D19" t="e">
        <f>VLOOKUP(BAL!$A19,SAP!$1:$1048576,5,FALSE)</f>
        <v>#N/A</v>
      </c>
      <c r="E19" s="5" t="e">
        <f>VLOOKUP(BAL!$A19,SAP!$1:$1048576,7,FALSE)</f>
        <v>#N/A</v>
      </c>
      <c r="F19" s="5" t="e">
        <f>VLOOKUP(BAL!$A19,SAP!$1:$1048576,9,FALSE)</f>
        <v>#N/A</v>
      </c>
      <c r="G19" s="5" t="e">
        <f>VLOOKUP(BAL!$A19,SAP!$1:$1048576,114,FALSE)</f>
        <v>#N/A</v>
      </c>
    </row>
    <row r="20" spans="1:7" x14ac:dyDescent="0.25">
      <c r="A20" t="s">
        <v>127</v>
      </c>
      <c r="B20" t="e">
        <f>VLOOKUP(BAL!A20,SAP!$1:$1048576,3,FALSE)</f>
        <v>#N/A</v>
      </c>
      <c r="C20" t="e">
        <f>VLOOKUP(BAL!$A20,SAP!$1:$1048576,4,FALSE)</f>
        <v>#N/A</v>
      </c>
      <c r="D20" t="e">
        <f>VLOOKUP(BAL!$A20,SAP!$1:$1048576,5,FALSE)</f>
        <v>#N/A</v>
      </c>
      <c r="E20" s="5" t="e">
        <f>VLOOKUP(BAL!$A20,SAP!$1:$1048576,7,FALSE)</f>
        <v>#N/A</v>
      </c>
      <c r="F20" s="5" t="e">
        <f>VLOOKUP(BAL!$A20,SAP!$1:$1048576,9,FALSE)</f>
        <v>#N/A</v>
      </c>
      <c r="G20" s="5" t="e">
        <f>VLOOKUP(BAL!$A20,SAP!$1:$1048576,114,FALSE)</f>
        <v>#N/A</v>
      </c>
    </row>
    <row r="21" spans="1:7" x14ac:dyDescent="0.25">
      <c r="A21" t="s">
        <v>33</v>
      </c>
      <c r="B21">
        <f>VLOOKUP(BAL!A21,SAP!$1:$1048576,3,FALSE)</f>
        <v>1400</v>
      </c>
      <c r="C21">
        <f>VLOOKUP(BAL!$A21,SAP!$1:$1048576,4,FALSE)</f>
        <v>1301110001</v>
      </c>
      <c r="D21" t="str">
        <f>VLOOKUP(BAL!$A21,SAP!$1:$1048576,5,FALSE)</f>
        <v>I/CInc</v>
      </c>
      <c r="E21" s="5">
        <f>VLOOKUP(BAL!$A21,SAP!$1:$1048576,7,FALSE)</f>
        <v>0</v>
      </c>
      <c r="F21" s="5">
        <f>VLOOKUP(BAL!$A21,SAP!$1:$1048576,9,FALSE)</f>
        <v>0</v>
      </c>
      <c r="G21" s="5">
        <f>VLOOKUP(BAL!$A21,SAP!$1:$1048576,114,FALSE)</f>
        <v>0</v>
      </c>
    </row>
    <row r="22" spans="1:7" x14ac:dyDescent="0.25">
      <c r="A22" t="s">
        <v>1066</v>
      </c>
      <c r="B22" t="e">
        <f>VLOOKUP(BAL!A22,SAP!$1:$1048576,3,FALSE)</f>
        <v>#N/A</v>
      </c>
      <c r="C22" t="e">
        <f>VLOOKUP(BAL!$A22,SAP!$1:$1048576,4,FALSE)</f>
        <v>#N/A</v>
      </c>
      <c r="D22" t="e">
        <f>VLOOKUP(BAL!$A22,SAP!$1:$1048576,5,FALSE)</f>
        <v>#N/A</v>
      </c>
      <c r="E22" s="5" t="e">
        <f>VLOOKUP(BAL!$A22,SAP!$1:$1048576,7,FALSE)</f>
        <v>#N/A</v>
      </c>
      <c r="F22" s="5" t="e">
        <f>VLOOKUP(BAL!$A22,SAP!$1:$1048576,9,FALSE)</f>
        <v>#N/A</v>
      </c>
      <c r="G22" s="5" t="e">
        <f>VLOOKUP(BAL!$A22,SAP!$1:$1048576,114,FALSE)</f>
        <v>#N/A</v>
      </c>
    </row>
    <row r="23" spans="1:7" x14ac:dyDescent="0.25">
      <c r="A23" t="s">
        <v>1067</v>
      </c>
      <c r="B23" t="e">
        <f>VLOOKUP(BAL!A23,SAP!$1:$1048576,3,FALSE)</f>
        <v>#N/A</v>
      </c>
      <c r="C23" t="e">
        <f>VLOOKUP(BAL!$A23,SAP!$1:$1048576,4,FALSE)</f>
        <v>#N/A</v>
      </c>
      <c r="D23" t="e">
        <f>VLOOKUP(BAL!$A23,SAP!$1:$1048576,5,FALSE)</f>
        <v>#N/A</v>
      </c>
      <c r="E23" s="5" t="e">
        <f>VLOOKUP(BAL!$A23,SAP!$1:$1048576,7,FALSE)</f>
        <v>#N/A</v>
      </c>
      <c r="F23" s="5" t="e">
        <f>VLOOKUP(BAL!$A23,SAP!$1:$1048576,9,FALSE)</f>
        <v>#N/A</v>
      </c>
      <c r="G23" s="5" t="e">
        <f>VLOOKUP(BAL!$A23,SAP!$1:$1048576,114,FALSE)</f>
        <v>#N/A</v>
      </c>
    </row>
    <row r="24" spans="1:7" x14ac:dyDescent="0.25">
      <c r="A24" t="s">
        <v>151</v>
      </c>
      <c r="B24">
        <f>VLOOKUP(BAL!A24,SAP!$1:$1048576,3,FALSE)</f>
        <v>1500</v>
      </c>
      <c r="C24">
        <f>VLOOKUP(BAL!$A24,SAP!$1:$1048576,4,FALSE)</f>
        <v>1301080004</v>
      </c>
      <c r="D24" t="str">
        <f>VLOOKUP(BAL!$A24,SAP!$1:$1048576,5,FALSE)</f>
        <v>I/CAflacGroup</v>
      </c>
      <c r="E24" s="5">
        <f>VLOOKUP(BAL!$A24,SAP!$1:$1048576,7,FALSE)</f>
        <v>0</v>
      </c>
      <c r="F24" s="5">
        <f>VLOOKUP(BAL!$A24,SAP!$1:$1048576,9,FALSE)</f>
        <v>0</v>
      </c>
      <c r="G24" s="5">
        <f>VLOOKUP(BAL!$A24,SAP!$1:$1048576,114,FALSE)</f>
        <v>0</v>
      </c>
    </row>
    <row r="25" spans="1:7" x14ac:dyDescent="0.25">
      <c r="A25" t="s">
        <v>43</v>
      </c>
      <c r="B25" t="e">
        <f>VLOOKUP(BAL!A25,SAP!$1:$1048576,3,FALSE)</f>
        <v>#N/A</v>
      </c>
      <c r="C25" t="e">
        <f>VLOOKUP(BAL!$A25,SAP!$1:$1048576,4,FALSE)</f>
        <v>#N/A</v>
      </c>
      <c r="D25" t="e">
        <f>VLOOKUP(BAL!$A25,SAP!$1:$1048576,5,FALSE)</f>
        <v>#N/A</v>
      </c>
      <c r="E25" s="5" t="e">
        <f>VLOOKUP(BAL!$A25,SAP!$1:$1048576,7,FALSE)</f>
        <v>#N/A</v>
      </c>
      <c r="F25" s="5" t="e">
        <f>VLOOKUP(BAL!$A25,SAP!$1:$1048576,9,FALSE)</f>
        <v>#N/A</v>
      </c>
      <c r="G25" s="5" t="e">
        <f>VLOOKUP(BAL!$A25,SAP!$1:$1048576,114,FALSE)</f>
        <v>#N/A</v>
      </c>
    </row>
    <row r="26" spans="1:7" x14ac:dyDescent="0.25">
      <c r="A26" t="s">
        <v>1068</v>
      </c>
      <c r="B26" t="e">
        <f>VLOOKUP(BAL!A26,SAP!$1:$1048576,3,FALSE)</f>
        <v>#N/A</v>
      </c>
      <c r="C26" t="e">
        <f>VLOOKUP(BAL!$A26,SAP!$1:$1048576,4,FALSE)</f>
        <v>#N/A</v>
      </c>
      <c r="D26" t="e">
        <f>VLOOKUP(BAL!$A26,SAP!$1:$1048576,5,FALSE)</f>
        <v>#N/A</v>
      </c>
      <c r="E26" s="5" t="e">
        <f>VLOOKUP(BAL!$A26,SAP!$1:$1048576,7,FALSE)</f>
        <v>#N/A</v>
      </c>
      <c r="F26" s="5" t="e">
        <f>VLOOKUP(BAL!$A26,SAP!$1:$1048576,9,FALSE)</f>
        <v>#N/A</v>
      </c>
      <c r="G26" s="5" t="e">
        <f>VLOOKUP(BAL!$A26,SAP!$1:$1048576,114,FALSE)</f>
        <v>#N/A</v>
      </c>
    </row>
    <row r="27" spans="1:7" x14ac:dyDescent="0.25">
      <c r="A27" t="s">
        <v>46</v>
      </c>
      <c r="B27">
        <f>VLOOKUP(BAL!A27,SAP!$1:$1048576,3,FALSE)</f>
        <v>1500</v>
      </c>
      <c r="C27">
        <f>VLOOKUP(BAL!$A27,SAP!$1:$1048576,4,FALSE)</f>
        <v>2905010001</v>
      </c>
      <c r="D27" t="str">
        <f>VLOOKUP(BAL!$A27,SAP!$1:$1048576,5,FALSE)</f>
        <v>ICPayToAflInc</v>
      </c>
      <c r="E27" s="5">
        <f>VLOOKUP(BAL!$A27,SAP!$1:$1048576,7,FALSE)</f>
        <v>0</v>
      </c>
      <c r="F27" s="5">
        <f>VLOOKUP(BAL!$A27,SAP!$1:$1048576,9,FALSE)</f>
        <v>0</v>
      </c>
      <c r="G27" s="5">
        <f>VLOOKUP(BAL!$A27,SAP!$1:$1048576,114,FALSE)</f>
        <v>0</v>
      </c>
    </row>
    <row r="28" spans="1:7" x14ac:dyDescent="0.25">
      <c r="A28" t="s">
        <v>130</v>
      </c>
      <c r="B28">
        <f>VLOOKUP(BAL!A28,SAP!$1:$1048576,3,FALSE)</f>
        <v>1500</v>
      </c>
      <c r="C28">
        <f>VLOOKUP(BAL!$A28,SAP!$1:$1048576,4,FALSE)</f>
        <v>2905022005</v>
      </c>
      <c r="D28" t="str">
        <f>VLOOKUP(BAL!$A28,SAP!$1:$1048576,5,FALSE)</f>
        <v>ICPayToAflNY</v>
      </c>
      <c r="E28" s="5">
        <f>VLOOKUP(BAL!$A28,SAP!$1:$1048576,7,FALSE)</f>
        <v>3013.76</v>
      </c>
      <c r="F28" s="5">
        <f>VLOOKUP(BAL!$A28,SAP!$1:$1048576,9,FALSE)</f>
        <v>0</v>
      </c>
      <c r="G28" s="5">
        <f>VLOOKUP(BAL!$A28,SAP!$1:$1048576,114,FALSE)</f>
        <v>0</v>
      </c>
    </row>
    <row r="29" spans="1:7" x14ac:dyDescent="0.25">
      <c r="A29" t="s">
        <v>146</v>
      </c>
      <c r="B29">
        <f>VLOOKUP(BAL!A29,SAP!$1:$1048576,3,FALSE)</f>
        <v>1500</v>
      </c>
      <c r="C29">
        <f>VLOOKUP(BAL!$A29,SAP!$1:$1048576,4,FALSE)</f>
        <v>2905028001</v>
      </c>
      <c r="D29" t="str">
        <f>VLOOKUP(BAL!$A29,SAP!$1:$1048576,5,FALSE)</f>
        <v>ICToAflGroup</v>
      </c>
      <c r="E29" s="5">
        <f>VLOOKUP(BAL!$A29,SAP!$1:$1048576,7,FALSE)</f>
        <v>0</v>
      </c>
      <c r="F29" s="5">
        <f>VLOOKUP(BAL!$A29,SAP!$1:$1048576,9,FALSE)</f>
        <v>0</v>
      </c>
      <c r="G29" s="5">
        <f>VLOOKUP(BAL!$A29,SAP!$1:$1048576,114,FALSE)</f>
        <v>0</v>
      </c>
    </row>
    <row r="30" spans="1:7" x14ac:dyDescent="0.25">
      <c r="A30" t="s">
        <v>1069</v>
      </c>
      <c r="B30" t="e">
        <f>VLOOKUP(BAL!A30,SAP!$1:$1048576,3,FALSE)</f>
        <v>#N/A</v>
      </c>
      <c r="C30" t="e">
        <f>VLOOKUP(BAL!$A30,SAP!$1:$1048576,4,FALSE)</f>
        <v>#N/A</v>
      </c>
      <c r="D30" t="e">
        <f>VLOOKUP(BAL!$A30,SAP!$1:$1048576,5,FALSE)</f>
        <v>#N/A</v>
      </c>
      <c r="E30" s="5" t="e">
        <f>VLOOKUP(BAL!$A30,SAP!$1:$1048576,7,FALSE)</f>
        <v>#N/A</v>
      </c>
      <c r="F30" s="5" t="e">
        <f>VLOOKUP(BAL!$A30,SAP!$1:$1048576,9,FALSE)</f>
        <v>#N/A</v>
      </c>
      <c r="G30" s="5" t="e">
        <f>VLOOKUP(BAL!$A30,SAP!$1:$1048576,114,FALSE)</f>
        <v>#N/A</v>
      </c>
    </row>
    <row r="31" spans="1:7" x14ac:dyDescent="0.25">
      <c r="A31" t="s">
        <v>1070</v>
      </c>
      <c r="B31" t="e">
        <f>VLOOKUP(BAL!A31,SAP!$1:$1048576,3,FALSE)</f>
        <v>#N/A</v>
      </c>
      <c r="C31" t="e">
        <f>VLOOKUP(BAL!$A31,SAP!$1:$1048576,4,FALSE)</f>
        <v>#N/A</v>
      </c>
      <c r="D31" t="e">
        <f>VLOOKUP(BAL!$A31,SAP!$1:$1048576,5,FALSE)</f>
        <v>#N/A</v>
      </c>
      <c r="E31" s="5" t="e">
        <f>VLOOKUP(BAL!$A31,SAP!$1:$1048576,7,FALSE)</f>
        <v>#N/A</v>
      </c>
      <c r="F31" s="5" t="e">
        <f>VLOOKUP(BAL!$A31,SAP!$1:$1048576,9,FALSE)</f>
        <v>#N/A</v>
      </c>
      <c r="G31" s="5" t="e">
        <f>VLOOKUP(BAL!$A31,SAP!$1:$1048576,114,FALSE)</f>
        <v>#N/A</v>
      </c>
    </row>
    <row r="32" spans="1:7" x14ac:dyDescent="0.25">
      <c r="A32" t="s">
        <v>1071</v>
      </c>
      <c r="B32" t="e">
        <f>VLOOKUP(BAL!A32,SAP!$1:$1048576,3,FALSE)</f>
        <v>#N/A</v>
      </c>
      <c r="C32" t="e">
        <f>VLOOKUP(BAL!$A32,SAP!$1:$1048576,4,FALSE)</f>
        <v>#N/A</v>
      </c>
      <c r="D32" t="e">
        <f>VLOOKUP(BAL!$A32,SAP!$1:$1048576,5,FALSE)</f>
        <v>#N/A</v>
      </c>
      <c r="E32" s="5" t="e">
        <f>VLOOKUP(BAL!$A32,SAP!$1:$1048576,7,FALSE)</f>
        <v>#N/A</v>
      </c>
      <c r="F32" s="5" t="e">
        <f>VLOOKUP(BAL!$A32,SAP!$1:$1048576,9,FALSE)</f>
        <v>#N/A</v>
      </c>
      <c r="G32" s="5" t="e">
        <f>VLOOKUP(BAL!$A32,SAP!$1:$1048576,114,FALSE)</f>
        <v>#N/A</v>
      </c>
    </row>
    <row r="33" spans="1:7" x14ac:dyDescent="0.25">
      <c r="A33" t="s">
        <v>1072</v>
      </c>
      <c r="B33" t="e">
        <f>VLOOKUP(BAL!A33,SAP!$1:$1048576,3,FALSE)</f>
        <v>#N/A</v>
      </c>
      <c r="C33" t="e">
        <f>VLOOKUP(BAL!$A33,SAP!$1:$1048576,4,FALSE)</f>
        <v>#N/A</v>
      </c>
      <c r="D33" t="e">
        <f>VLOOKUP(BAL!$A33,SAP!$1:$1048576,5,FALSE)</f>
        <v>#N/A</v>
      </c>
      <c r="E33" s="5" t="e">
        <f>VLOOKUP(BAL!$A33,SAP!$1:$1048576,7,FALSE)</f>
        <v>#N/A</v>
      </c>
      <c r="F33" s="5" t="e">
        <f>VLOOKUP(BAL!$A33,SAP!$1:$1048576,9,FALSE)</f>
        <v>#N/A</v>
      </c>
      <c r="G33" s="5" t="e">
        <f>VLOOKUP(BAL!$A33,SAP!$1:$1048576,114,FALSE)</f>
        <v>#N/A</v>
      </c>
    </row>
    <row r="34" spans="1:7" x14ac:dyDescent="0.25">
      <c r="A34" t="s">
        <v>1073</v>
      </c>
      <c r="B34" t="e">
        <f>VLOOKUP(BAL!A34,SAP!$1:$1048576,3,FALSE)</f>
        <v>#N/A</v>
      </c>
      <c r="C34" t="e">
        <f>VLOOKUP(BAL!$A34,SAP!$1:$1048576,4,FALSE)</f>
        <v>#N/A</v>
      </c>
      <c r="D34" t="e">
        <f>VLOOKUP(BAL!$A34,SAP!$1:$1048576,5,FALSE)</f>
        <v>#N/A</v>
      </c>
      <c r="E34" s="5" t="e">
        <f>VLOOKUP(BAL!$A34,SAP!$1:$1048576,7,FALSE)</f>
        <v>#N/A</v>
      </c>
      <c r="F34" s="5" t="e">
        <f>VLOOKUP(BAL!$A34,SAP!$1:$1048576,9,FALSE)</f>
        <v>#N/A</v>
      </c>
      <c r="G34" s="5" t="e">
        <f>VLOOKUP(BAL!$A34,SAP!$1:$1048576,114,FALSE)</f>
        <v>#N/A</v>
      </c>
    </row>
    <row r="35" spans="1:7" x14ac:dyDescent="0.25">
      <c r="A35" t="s">
        <v>1074</v>
      </c>
      <c r="B35" t="e">
        <f>VLOOKUP(BAL!A35,SAP!$1:$1048576,3,FALSE)</f>
        <v>#N/A</v>
      </c>
      <c r="C35" t="e">
        <f>VLOOKUP(BAL!$A35,SAP!$1:$1048576,4,FALSE)</f>
        <v>#N/A</v>
      </c>
      <c r="D35" t="e">
        <f>VLOOKUP(BAL!$A35,SAP!$1:$1048576,5,FALSE)</f>
        <v>#N/A</v>
      </c>
      <c r="E35" s="5" t="e">
        <f>VLOOKUP(BAL!$A35,SAP!$1:$1048576,7,FALSE)</f>
        <v>#N/A</v>
      </c>
      <c r="F35" s="5" t="e">
        <f>VLOOKUP(BAL!$A35,SAP!$1:$1048576,9,FALSE)</f>
        <v>#N/A</v>
      </c>
      <c r="G35" s="5" t="e">
        <f>VLOOKUP(BAL!$A35,SAP!$1:$1048576,114,FALSE)</f>
        <v>#N/A</v>
      </c>
    </row>
    <row r="36" spans="1:7" x14ac:dyDescent="0.25">
      <c r="A36" t="s">
        <v>1075</v>
      </c>
      <c r="B36" t="e">
        <f>VLOOKUP(BAL!A36,SAP!$1:$1048576,3,FALSE)</f>
        <v>#N/A</v>
      </c>
      <c r="C36" t="e">
        <f>VLOOKUP(BAL!$A36,SAP!$1:$1048576,4,FALSE)</f>
        <v>#N/A</v>
      </c>
      <c r="D36" t="e">
        <f>VLOOKUP(BAL!$A36,SAP!$1:$1048576,5,FALSE)</f>
        <v>#N/A</v>
      </c>
      <c r="E36" s="5" t="e">
        <f>VLOOKUP(BAL!$A36,SAP!$1:$1048576,7,FALSE)</f>
        <v>#N/A</v>
      </c>
      <c r="F36" s="5" t="e">
        <f>VLOOKUP(BAL!$A36,SAP!$1:$1048576,9,FALSE)</f>
        <v>#N/A</v>
      </c>
      <c r="G36" s="5" t="e">
        <f>VLOOKUP(BAL!$A36,SAP!$1:$1048576,114,FALSE)</f>
        <v>#N/A</v>
      </c>
    </row>
    <row r="37" spans="1:7" x14ac:dyDescent="0.25">
      <c r="A37" t="s">
        <v>1076</v>
      </c>
      <c r="B37" t="e">
        <f>VLOOKUP(BAL!A37,SAP!$1:$1048576,3,FALSE)</f>
        <v>#N/A</v>
      </c>
      <c r="C37" t="e">
        <f>VLOOKUP(BAL!$A37,SAP!$1:$1048576,4,FALSE)</f>
        <v>#N/A</v>
      </c>
      <c r="D37" t="e">
        <f>VLOOKUP(BAL!$A37,SAP!$1:$1048576,5,FALSE)</f>
        <v>#N/A</v>
      </c>
      <c r="E37" s="5" t="e">
        <f>VLOOKUP(BAL!$A37,SAP!$1:$1048576,7,FALSE)</f>
        <v>#N/A</v>
      </c>
      <c r="F37" s="5" t="e">
        <f>VLOOKUP(BAL!$A37,SAP!$1:$1048576,9,FALSE)</f>
        <v>#N/A</v>
      </c>
      <c r="G37" s="5" t="e">
        <f>VLOOKUP(BAL!$A37,SAP!$1:$1048576,114,FALSE)</f>
        <v>#N/A</v>
      </c>
    </row>
    <row r="38" spans="1:7" x14ac:dyDescent="0.25">
      <c r="A38" t="s">
        <v>1077</v>
      </c>
      <c r="B38" t="e">
        <f>VLOOKUP(BAL!A38,SAP!$1:$1048576,3,FALSE)</f>
        <v>#N/A</v>
      </c>
      <c r="C38" t="e">
        <f>VLOOKUP(BAL!$A38,SAP!$1:$1048576,4,FALSE)</f>
        <v>#N/A</v>
      </c>
      <c r="D38" t="e">
        <f>VLOOKUP(BAL!$A38,SAP!$1:$1048576,5,FALSE)</f>
        <v>#N/A</v>
      </c>
      <c r="E38" s="5" t="e">
        <f>VLOOKUP(BAL!$A38,SAP!$1:$1048576,7,FALSE)</f>
        <v>#N/A</v>
      </c>
      <c r="F38" s="5" t="e">
        <f>VLOOKUP(BAL!$A38,SAP!$1:$1048576,9,FALSE)</f>
        <v>#N/A</v>
      </c>
      <c r="G38" s="5" t="e">
        <f>VLOOKUP(BAL!$A38,SAP!$1:$1048576,114,FALSE)</f>
        <v>#N/A</v>
      </c>
    </row>
    <row r="39" spans="1:7" x14ac:dyDescent="0.25">
      <c r="A39" t="s">
        <v>1078</v>
      </c>
      <c r="B39" t="e">
        <f>VLOOKUP(BAL!A39,SAP!$1:$1048576,3,FALSE)</f>
        <v>#N/A</v>
      </c>
      <c r="C39" t="e">
        <f>VLOOKUP(BAL!$A39,SAP!$1:$1048576,4,FALSE)</f>
        <v>#N/A</v>
      </c>
      <c r="D39" t="e">
        <f>VLOOKUP(BAL!$A39,SAP!$1:$1048576,5,FALSE)</f>
        <v>#N/A</v>
      </c>
      <c r="E39" s="5" t="e">
        <f>VLOOKUP(BAL!$A39,SAP!$1:$1048576,7,FALSE)</f>
        <v>#N/A</v>
      </c>
      <c r="F39" s="5" t="e">
        <f>VLOOKUP(BAL!$A39,SAP!$1:$1048576,9,FALSE)</f>
        <v>#N/A</v>
      </c>
      <c r="G39" s="5" t="e">
        <f>VLOOKUP(BAL!$A39,SAP!$1:$1048576,114,FALSE)</f>
        <v>#N/A</v>
      </c>
    </row>
    <row r="40" spans="1:7" x14ac:dyDescent="0.25">
      <c r="A40" t="s">
        <v>1079</v>
      </c>
      <c r="B40" t="e">
        <f>VLOOKUP(BAL!A40,SAP!$1:$1048576,3,FALSE)</f>
        <v>#N/A</v>
      </c>
      <c r="C40" t="e">
        <f>VLOOKUP(BAL!$A40,SAP!$1:$1048576,4,FALSE)</f>
        <v>#N/A</v>
      </c>
      <c r="D40" t="e">
        <f>VLOOKUP(BAL!$A40,SAP!$1:$1048576,5,FALSE)</f>
        <v>#N/A</v>
      </c>
      <c r="E40" s="5" t="e">
        <f>VLOOKUP(BAL!$A40,SAP!$1:$1048576,7,FALSE)</f>
        <v>#N/A</v>
      </c>
      <c r="F40" s="5" t="e">
        <f>VLOOKUP(BAL!$A40,SAP!$1:$1048576,9,FALSE)</f>
        <v>#N/A</v>
      </c>
      <c r="G40" s="5" t="e">
        <f>VLOOKUP(BAL!$A40,SAP!$1:$1048576,114,FALSE)</f>
        <v>#N/A</v>
      </c>
    </row>
    <row r="41" spans="1:7" x14ac:dyDescent="0.25">
      <c r="A41" t="s">
        <v>1080</v>
      </c>
      <c r="B41" t="e">
        <f>VLOOKUP(BAL!A41,SAP!$1:$1048576,3,FALSE)</f>
        <v>#N/A</v>
      </c>
      <c r="C41" t="e">
        <f>VLOOKUP(BAL!$A41,SAP!$1:$1048576,4,FALSE)</f>
        <v>#N/A</v>
      </c>
      <c r="D41" t="e">
        <f>VLOOKUP(BAL!$A41,SAP!$1:$1048576,5,FALSE)</f>
        <v>#N/A</v>
      </c>
      <c r="E41" s="5" t="e">
        <f>VLOOKUP(BAL!$A41,SAP!$1:$1048576,7,FALSE)</f>
        <v>#N/A</v>
      </c>
      <c r="F41" s="5" t="e">
        <f>VLOOKUP(BAL!$A41,SAP!$1:$1048576,9,FALSE)</f>
        <v>#N/A</v>
      </c>
      <c r="G41" s="5" t="e">
        <f>VLOOKUP(BAL!$A41,SAP!$1:$1048576,114,FALSE)</f>
        <v>#N/A</v>
      </c>
    </row>
    <row r="42" spans="1:7" x14ac:dyDescent="0.25">
      <c r="A42" t="s">
        <v>1081</v>
      </c>
      <c r="B42" t="e">
        <f>VLOOKUP(BAL!A42,SAP!$1:$1048576,3,FALSE)</f>
        <v>#N/A</v>
      </c>
      <c r="C42" t="e">
        <f>VLOOKUP(BAL!$A42,SAP!$1:$1048576,4,FALSE)</f>
        <v>#N/A</v>
      </c>
      <c r="D42" t="e">
        <f>VLOOKUP(BAL!$A42,SAP!$1:$1048576,5,FALSE)</f>
        <v>#N/A</v>
      </c>
      <c r="E42" s="5" t="e">
        <f>VLOOKUP(BAL!$A42,SAP!$1:$1048576,7,FALSE)</f>
        <v>#N/A</v>
      </c>
      <c r="F42" s="5" t="e">
        <f>VLOOKUP(BAL!$A42,SAP!$1:$1048576,9,FALSE)</f>
        <v>#N/A</v>
      </c>
      <c r="G42" s="5" t="e">
        <f>VLOOKUP(BAL!$A42,SAP!$1:$1048576,114,FALSE)</f>
        <v>#N/A</v>
      </c>
    </row>
    <row r="43" spans="1:7" x14ac:dyDescent="0.25">
      <c r="A43" t="s">
        <v>174</v>
      </c>
      <c r="B43">
        <f>VLOOKUP(BAL!A43,SAP!$1:$1048576,3,FALSE)</f>
        <v>2200</v>
      </c>
      <c r="C43">
        <f>VLOOKUP(BAL!$A43,SAP!$1:$1048576,4,FALSE)</f>
        <v>1301080004</v>
      </c>
      <c r="D43" t="str">
        <f>VLOOKUP(BAL!$A43,SAP!$1:$1048576,5,FALSE)</f>
        <v>I/CAflacGroup</v>
      </c>
      <c r="E43" s="5">
        <f>VLOOKUP(BAL!$A43,SAP!$1:$1048576,7,FALSE)</f>
        <v>171804.95</v>
      </c>
      <c r="F43" s="5">
        <f>VLOOKUP(BAL!$A43,SAP!$1:$1048576,9,FALSE)</f>
        <v>0</v>
      </c>
      <c r="G43" s="5">
        <f>VLOOKUP(BAL!$A43,SAP!$1:$1048576,114,FALSE)</f>
        <v>0</v>
      </c>
    </row>
    <row r="44" spans="1:7" x14ac:dyDescent="0.25">
      <c r="A44" t="s">
        <v>53</v>
      </c>
      <c r="B44">
        <f>VLOOKUP(BAL!A44,SAP!$1:$1048576,3,FALSE)</f>
        <v>2200</v>
      </c>
      <c r="C44">
        <f>VLOOKUP(BAL!$A44,SAP!$1:$1048576,4,FALSE)</f>
        <v>1301110001</v>
      </c>
      <c r="D44" t="str">
        <f>VLOOKUP(BAL!$A44,SAP!$1:$1048576,5,FALSE)</f>
        <v>I/CInc</v>
      </c>
      <c r="E44" s="5">
        <f>VLOOKUP(BAL!$A44,SAP!$1:$1048576,7,FALSE)</f>
        <v>122815.64</v>
      </c>
      <c r="F44" s="5">
        <f>VLOOKUP(BAL!$A44,SAP!$1:$1048576,9,FALSE)</f>
        <v>0</v>
      </c>
      <c r="G44" s="5">
        <f>VLOOKUP(BAL!$A44,SAP!$1:$1048576,114,FALSE)</f>
        <v>0</v>
      </c>
    </row>
    <row r="45" spans="1:7" x14ac:dyDescent="0.25">
      <c r="A45" t="s">
        <v>132</v>
      </c>
      <c r="B45">
        <f>VLOOKUP(BAL!A45,SAP!$1:$1048576,3,FALSE)</f>
        <v>2200</v>
      </c>
      <c r="C45">
        <f>VLOOKUP(BAL!$A45,SAP!$1:$1048576,4,FALSE)</f>
        <v>1301110004</v>
      </c>
      <c r="D45" t="str">
        <f>VLOOKUP(BAL!$A45,SAP!$1:$1048576,5,FALSE)</f>
        <v>I/CoRecABS</v>
      </c>
      <c r="E45" s="5">
        <f>VLOOKUP(BAL!$A45,SAP!$1:$1048576,7,FALSE)</f>
        <v>0</v>
      </c>
      <c r="F45" s="5">
        <f>VLOOKUP(BAL!$A45,SAP!$1:$1048576,9,FALSE)</f>
        <v>3013.76</v>
      </c>
      <c r="G45" s="5">
        <f>VLOOKUP(BAL!$A45,SAP!$1:$1048576,114,FALSE)</f>
        <v>0</v>
      </c>
    </row>
    <row r="46" spans="1:7" x14ac:dyDescent="0.25">
      <c r="A46" t="s">
        <v>1082</v>
      </c>
      <c r="B46" t="e">
        <f>VLOOKUP(BAL!A46,SAP!$1:$1048576,3,FALSE)</f>
        <v>#N/A</v>
      </c>
      <c r="C46" t="e">
        <f>VLOOKUP(BAL!$A46,SAP!$1:$1048576,4,FALSE)</f>
        <v>#N/A</v>
      </c>
      <c r="D46" t="e">
        <f>VLOOKUP(BAL!$A46,SAP!$1:$1048576,5,FALSE)</f>
        <v>#N/A</v>
      </c>
      <c r="E46" s="5" t="e">
        <f>VLOOKUP(BAL!$A46,SAP!$1:$1048576,7,FALSE)</f>
        <v>#N/A</v>
      </c>
      <c r="F46" s="5" t="e">
        <f>VLOOKUP(BAL!$A46,SAP!$1:$1048576,9,FALSE)</f>
        <v>#N/A</v>
      </c>
      <c r="G46" s="5" t="e">
        <f>VLOOKUP(BAL!$A46,SAP!$1:$1048576,114,FALSE)</f>
        <v>#N/A</v>
      </c>
    </row>
    <row r="47" spans="1:7" x14ac:dyDescent="0.25">
      <c r="A47" t="s">
        <v>56</v>
      </c>
      <c r="B47">
        <f>VLOOKUP(BAL!A47,SAP!$1:$1048576,3,FALSE)</f>
        <v>2200</v>
      </c>
      <c r="C47">
        <f>VLOOKUP(BAL!$A47,SAP!$1:$1048576,4,FALSE)</f>
        <v>2905010001</v>
      </c>
      <c r="D47" t="str">
        <f>VLOOKUP(BAL!$A47,SAP!$1:$1048576,5,FALSE)</f>
        <v>ICPayToAflInc</v>
      </c>
      <c r="E47" s="5">
        <f>VLOOKUP(BAL!$A47,SAP!$1:$1048576,7,FALSE)</f>
        <v>0</v>
      </c>
      <c r="F47" s="5">
        <f>VLOOKUP(BAL!$A47,SAP!$1:$1048576,9,FALSE)</f>
        <v>191777.97</v>
      </c>
      <c r="G47" s="5">
        <f>VLOOKUP(BAL!$A47,SAP!$1:$1048576,114,FALSE)</f>
        <v>0</v>
      </c>
    </row>
    <row r="48" spans="1:7" x14ac:dyDescent="0.25">
      <c r="A48" t="s">
        <v>169</v>
      </c>
      <c r="B48">
        <f>VLOOKUP(BAL!A48,SAP!$1:$1048576,3,FALSE)</f>
        <v>2200</v>
      </c>
      <c r="C48">
        <f>VLOOKUP(BAL!$A48,SAP!$1:$1048576,4,FALSE)</f>
        <v>2905028001</v>
      </c>
      <c r="D48" t="str">
        <f>VLOOKUP(BAL!$A48,SAP!$1:$1048576,5,FALSE)</f>
        <v>ICToAflGroup</v>
      </c>
      <c r="E48" s="5">
        <f>VLOOKUP(BAL!$A48,SAP!$1:$1048576,7,FALSE)</f>
        <v>0</v>
      </c>
      <c r="F48" s="5">
        <f>VLOOKUP(BAL!$A48,SAP!$1:$1048576,9,FALSE)</f>
        <v>44240.47</v>
      </c>
      <c r="G48" s="5">
        <f>VLOOKUP(BAL!$A48,SAP!$1:$1048576,114,FALSE)</f>
        <v>0</v>
      </c>
    </row>
    <row r="49" spans="1:7" x14ac:dyDescent="0.25">
      <c r="A49" t="s">
        <v>1083</v>
      </c>
      <c r="B49" t="e">
        <f>VLOOKUP(BAL!A49,SAP!$1:$1048576,3,FALSE)</f>
        <v>#N/A</v>
      </c>
      <c r="C49" t="e">
        <f>VLOOKUP(BAL!$A49,SAP!$1:$1048576,4,FALSE)</f>
        <v>#N/A</v>
      </c>
      <c r="D49" t="e">
        <f>VLOOKUP(BAL!$A49,SAP!$1:$1048576,5,FALSE)</f>
        <v>#N/A</v>
      </c>
      <c r="E49" s="5" t="e">
        <f>VLOOKUP(BAL!$A49,SAP!$1:$1048576,7,FALSE)</f>
        <v>#N/A</v>
      </c>
      <c r="F49" s="5" t="e">
        <f>VLOOKUP(BAL!$A49,SAP!$1:$1048576,9,FALSE)</f>
        <v>#N/A</v>
      </c>
      <c r="G49" s="5" t="e">
        <f>VLOOKUP(BAL!$A49,SAP!$1:$1048576,114,FALSE)</f>
        <v>#N/A</v>
      </c>
    </row>
    <row r="50" spans="1:7" x14ac:dyDescent="0.25">
      <c r="A50" t="s">
        <v>122</v>
      </c>
      <c r="B50" t="e">
        <f>VLOOKUP(BAL!A50,SAP!$1:$1048576,3,FALSE)</f>
        <v>#N/A</v>
      </c>
      <c r="C50" t="e">
        <f>VLOOKUP(BAL!$A50,SAP!$1:$1048576,4,FALSE)</f>
        <v>#N/A</v>
      </c>
      <c r="D50" t="e">
        <f>VLOOKUP(BAL!$A50,SAP!$1:$1048576,5,FALSE)</f>
        <v>#N/A</v>
      </c>
      <c r="E50" s="5" t="e">
        <f>VLOOKUP(BAL!$A50,SAP!$1:$1048576,7,FALSE)</f>
        <v>#N/A</v>
      </c>
      <c r="F50" s="5" t="e">
        <f>VLOOKUP(BAL!$A50,SAP!$1:$1048576,9,FALSE)</f>
        <v>#N/A</v>
      </c>
      <c r="G50" s="5" t="e">
        <f>VLOOKUP(BAL!$A50,SAP!$1:$1048576,114,FALSE)</f>
        <v>#N/A</v>
      </c>
    </row>
    <row r="51" spans="1:7" x14ac:dyDescent="0.25">
      <c r="A51" t="s">
        <v>170</v>
      </c>
      <c r="B51">
        <f>VLOOKUP(BAL!A51,SAP!$1:$1048576,3,FALSE)</f>
        <v>2500</v>
      </c>
      <c r="C51">
        <f>VLOOKUP(BAL!$A51,SAP!$1:$1048576,4,FALSE)</f>
        <v>1301080003</v>
      </c>
      <c r="D51" t="str">
        <f>VLOOKUP(BAL!$A51,SAP!$1:$1048576,5,FALSE)</f>
        <v>I/CAflacNY</v>
      </c>
      <c r="E51" s="5">
        <f>VLOOKUP(BAL!$A51,SAP!$1:$1048576,7,FALSE)</f>
        <v>44240.47</v>
      </c>
      <c r="F51" s="5">
        <f>VLOOKUP(BAL!$A51,SAP!$1:$1048576,9,FALSE)</f>
        <v>0</v>
      </c>
      <c r="G51" s="5">
        <f>VLOOKUP(BAL!$A51,SAP!$1:$1048576,114,FALSE)</f>
        <v>0</v>
      </c>
    </row>
    <row r="52" spans="1:7" x14ac:dyDescent="0.25">
      <c r="A52" t="s">
        <v>73</v>
      </c>
      <c r="B52">
        <f>VLOOKUP(BAL!A52,SAP!$1:$1048576,3,FALSE)</f>
        <v>2500</v>
      </c>
      <c r="C52">
        <f>VLOOKUP(BAL!$A52,SAP!$1:$1048576,4,FALSE)</f>
        <v>1301110001</v>
      </c>
      <c r="D52" t="str">
        <f>VLOOKUP(BAL!$A52,SAP!$1:$1048576,5,FALSE)</f>
        <v>I/CInc</v>
      </c>
      <c r="E52" s="5">
        <f>VLOOKUP(BAL!$A52,SAP!$1:$1048576,7,FALSE)</f>
        <v>1463.94</v>
      </c>
      <c r="F52" s="5">
        <f>VLOOKUP(BAL!$A52,SAP!$1:$1048576,9,FALSE)</f>
        <v>0</v>
      </c>
      <c r="G52" s="5">
        <f>VLOOKUP(BAL!$A52,SAP!$1:$1048576,114,FALSE)</f>
        <v>0</v>
      </c>
    </row>
    <row r="53" spans="1:7" x14ac:dyDescent="0.25">
      <c r="A53" t="s">
        <v>147</v>
      </c>
      <c r="B53">
        <f>VLOOKUP(BAL!A53,SAP!$1:$1048576,3,FALSE)</f>
        <v>2500</v>
      </c>
      <c r="C53">
        <f>VLOOKUP(BAL!$A53,SAP!$1:$1048576,4,FALSE)</f>
        <v>1301110004</v>
      </c>
      <c r="D53" t="str">
        <f>VLOOKUP(BAL!$A53,SAP!$1:$1048576,5,FALSE)</f>
        <v>I/CoRecABS</v>
      </c>
      <c r="E53" s="5">
        <f>VLOOKUP(BAL!$A53,SAP!$1:$1048576,7,FALSE)</f>
        <v>0</v>
      </c>
      <c r="F53" s="5">
        <f>VLOOKUP(BAL!$A53,SAP!$1:$1048576,9,FALSE)</f>
        <v>0</v>
      </c>
      <c r="G53" s="5">
        <f>VLOOKUP(BAL!$A53,SAP!$1:$1048576,114,FALSE)</f>
        <v>0</v>
      </c>
    </row>
    <row r="54" spans="1:7" x14ac:dyDescent="0.25">
      <c r="A54" t="s">
        <v>150</v>
      </c>
      <c r="B54">
        <f>VLOOKUP(BAL!A54,SAP!$1:$1048576,3,FALSE)</f>
        <v>2500</v>
      </c>
      <c r="C54">
        <f>VLOOKUP(BAL!$A54,SAP!$1:$1048576,4,FALSE)</f>
        <v>2905028006</v>
      </c>
      <c r="D54" t="str">
        <f>VLOOKUP(BAL!$A54,SAP!$1:$1048576,5,FALSE)</f>
        <v>ICPayToAflacBenInc</v>
      </c>
      <c r="E54" s="5">
        <f>VLOOKUP(BAL!$A54,SAP!$1:$1048576,7,FALSE)</f>
        <v>0</v>
      </c>
      <c r="F54" s="5">
        <f>VLOOKUP(BAL!$A54,SAP!$1:$1048576,9,FALSE)</f>
        <v>0</v>
      </c>
      <c r="G54" s="5">
        <f>VLOOKUP(BAL!$A54,SAP!$1:$1048576,114,FALSE)</f>
        <v>0</v>
      </c>
    </row>
    <row r="55" spans="1:7" x14ac:dyDescent="0.25">
      <c r="A55" t="s">
        <v>856</v>
      </c>
      <c r="B55">
        <f>VLOOKUP(BAL!A55,SAP!$1:$1048576,3,FALSE)</f>
        <v>2500</v>
      </c>
      <c r="C55">
        <f>VLOOKUP(BAL!$A55,SAP!$1:$1048576,4,FALSE)</f>
        <v>2905021008</v>
      </c>
      <c r="D55" t="str">
        <f>VLOOKUP(BAL!$A55,SAP!$1:$1048576,5,FALSE)</f>
        <v>ICPayToAflacCol</v>
      </c>
      <c r="E55" s="5">
        <f>VLOOKUP(BAL!$A55,SAP!$1:$1048576,7,FALSE)</f>
        <v>0</v>
      </c>
      <c r="F55" s="5">
        <f>VLOOKUP(BAL!$A55,SAP!$1:$1048576,9,FALSE)</f>
        <v>0</v>
      </c>
      <c r="G55" s="5">
        <f>VLOOKUP(BAL!$A55,SAP!$1:$1048576,114,FALSE)</f>
        <v>0</v>
      </c>
    </row>
    <row r="56" spans="1:7" x14ac:dyDescent="0.25">
      <c r="A56" t="s">
        <v>76</v>
      </c>
      <c r="B56">
        <f>VLOOKUP(BAL!A56,SAP!$1:$1048576,3,FALSE)</f>
        <v>2500</v>
      </c>
      <c r="C56">
        <f>VLOOKUP(BAL!$A56,SAP!$1:$1048576,4,FALSE)</f>
        <v>2905010001</v>
      </c>
      <c r="D56" t="str">
        <f>VLOOKUP(BAL!$A56,SAP!$1:$1048576,5,FALSE)</f>
        <v>ICPayToAflInc</v>
      </c>
      <c r="E56" s="5">
        <f>VLOOKUP(BAL!$A56,SAP!$1:$1048576,7,FALSE)</f>
        <v>0</v>
      </c>
      <c r="F56" s="5">
        <f>VLOOKUP(BAL!$A56,SAP!$1:$1048576,9,FALSE)</f>
        <v>1211446</v>
      </c>
      <c r="G56" s="5">
        <f>VLOOKUP(BAL!$A56,SAP!$1:$1048576,114,FALSE)</f>
        <v>0</v>
      </c>
    </row>
    <row r="57" spans="1:7" x14ac:dyDescent="0.25">
      <c r="A57" t="s">
        <v>173</v>
      </c>
      <c r="B57">
        <f>VLOOKUP(BAL!A57,SAP!$1:$1048576,3,FALSE)</f>
        <v>2500</v>
      </c>
      <c r="C57">
        <f>VLOOKUP(BAL!$A57,SAP!$1:$1048576,4,FALSE)</f>
        <v>2905022005</v>
      </c>
      <c r="D57" t="str">
        <f>VLOOKUP(BAL!$A57,SAP!$1:$1048576,5,FALSE)</f>
        <v>ICPayToAflNY</v>
      </c>
      <c r="E57" s="5">
        <f>VLOOKUP(BAL!$A57,SAP!$1:$1048576,7,FALSE)</f>
        <v>0</v>
      </c>
      <c r="F57" s="5">
        <f>VLOOKUP(BAL!$A57,SAP!$1:$1048576,9,FALSE)</f>
        <v>171804.95</v>
      </c>
      <c r="G57" s="5">
        <f>VLOOKUP(BAL!$A57,SAP!$1:$1048576,114,FALSE)</f>
        <v>0</v>
      </c>
    </row>
    <row r="58" spans="1:7" x14ac:dyDescent="0.25">
      <c r="A58" t="s">
        <v>125</v>
      </c>
      <c r="B58" t="e">
        <f>VLOOKUP(BAL!A58,SAP!$1:$1048576,3,FALSE)</f>
        <v>#N/A</v>
      </c>
      <c r="C58" t="e">
        <f>VLOOKUP(BAL!$A58,SAP!$1:$1048576,4,FALSE)</f>
        <v>#N/A</v>
      </c>
      <c r="D58" t="e">
        <f>VLOOKUP(BAL!$A58,SAP!$1:$1048576,5,FALSE)</f>
        <v>#N/A</v>
      </c>
      <c r="E58" s="5" t="e">
        <f>VLOOKUP(BAL!$A58,SAP!$1:$1048576,7,FALSE)</f>
        <v>#N/A</v>
      </c>
      <c r="F58" s="5" t="e">
        <f>VLOOKUP(BAL!$A58,SAP!$1:$1048576,9,FALSE)</f>
        <v>#N/A</v>
      </c>
      <c r="G58" s="5" t="e">
        <f>VLOOKUP(BAL!$A58,SAP!$1:$1048576,114,FALSE)</f>
        <v>#N/A</v>
      </c>
    </row>
    <row r="80" spans="1:7" x14ac:dyDescent="0.25">
      <c r="A80" t="s">
        <v>1084</v>
      </c>
      <c r="E80" s="5" t="e">
        <f>SUM(E2:E79)</f>
        <v>#N/A</v>
      </c>
      <c r="F80" s="5" t="e">
        <f>SUM(F2:F79)</f>
        <v>#N/A</v>
      </c>
      <c r="G80" s="5" t="e">
        <f>SUM(G2:G79)</f>
        <v>#N/A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FR-Instructions</vt:lpstr>
      <vt:lpstr>Treasury Instructions</vt:lpstr>
      <vt:lpstr>SAP</vt:lpstr>
      <vt:lpstr>RECON</vt:lpstr>
      <vt:lpstr>Treasury Payments&amp;Accounting</vt:lpstr>
      <vt:lpstr>Kyriba PET Upload</vt:lpstr>
      <vt:lpstr>BAL</vt:lpstr>
      <vt:lpstr>'Treasury Payments&amp;Accounting'!Print_Area</vt:lpstr>
      <vt:lpstr>RECON!Print_Titles</vt:lpstr>
      <vt:lpstr>'Treasury Payments&amp;Accounting'!Print_Titles</vt:lpstr>
      <vt:lpstr>reconacct</vt:lpstr>
      <vt:lpstr>SAP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e00175</dc:creator>
  <cp:lastModifiedBy>kyle tomlinson</cp:lastModifiedBy>
  <cp:lastPrinted>2026-05-21T19:43:29Z</cp:lastPrinted>
  <dcterms:created xsi:type="dcterms:W3CDTF">2011-09-01T20:59:49Z</dcterms:created>
  <dcterms:modified xsi:type="dcterms:W3CDTF">2026-10-07T15:39:08Z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a1514e3-fc94-420e-827c-90343d3ba313_Enabled">
    <vt:lpwstr>true</vt:lpwstr>
  </property>
  <property fmtid="{D5CDD505-2E9C-101B-9397-08002B2CF9AE}" pid="3" name="MSIP_Label_aa1514e3-fc94-420e-827c-90343d3ba313_SetDate">
    <vt:lpwstr>2026-09-24T13:03:59Z</vt:lpwstr>
  </property>
  <property fmtid="{D5CDD505-2E9C-101B-9397-08002B2CF9AE}" pid="4" name="MSIP_Label_aa1514e3-fc94-420e-827c-90343d3ba313_Method">
    <vt:lpwstr>Privileged</vt:lpwstr>
  </property>
  <property fmtid="{D5CDD505-2E9C-101B-9397-08002B2CF9AE}" pid="5" name="MSIP_Label_aa1514e3-fc94-420e-827c-90343d3ba313_Name">
    <vt:lpwstr>Non-Public</vt:lpwstr>
  </property>
  <property fmtid="{D5CDD505-2E9C-101B-9397-08002B2CF9AE}" pid="6" name="MSIP_Label_aa1514e3-fc94-420e-827c-90343d3ba313_SiteId">
    <vt:lpwstr>abd01cdb-e4e0-44db-b7eb-0451eda895e8</vt:lpwstr>
  </property>
  <property fmtid="{D5CDD505-2E9C-101B-9397-08002B2CF9AE}" pid="7" name="MSIP_Label_aa1514e3-fc94-420e-827c-90343d3ba313_ActionId">
    <vt:lpwstr>f3fbe7b3-935a-4995-ac93-d51f7878b2f6</vt:lpwstr>
  </property>
  <property fmtid="{D5CDD505-2E9C-101B-9397-08002B2CF9AE}" pid="8" name="MSIP_Label_aa1514e3-fc94-420e-827c-90343d3ba313_ContentBits">
    <vt:lpwstr>0</vt:lpwstr>
  </property>
  <property fmtid="{D5CDD505-2E9C-101B-9397-08002B2CF9AE}" pid="9" name="MSIP_Label_aa1514e3-fc94-420e-827c-90343d3ba313_Tag">
    <vt:lpwstr>10, 0, 1, 1</vt:lpwstr>
  </property>
</Properties>
</file>